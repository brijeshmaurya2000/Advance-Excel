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DELL\Downloads\"/>
    </mc:Choice>
  </mc:AlternateContent>
  <bookViews>
    <workbookView xWindow="0" yWindow="0" windowWidth="20490" windowHeight="8820" activeTab="2"/>
  </bookViews>
  <sheets>
    <sheet name="Road_Accident_Dataset_100_Rows" sheetId="1" r:id="rId1"/>
    <sheet name="Sheet1" sheetId="2" r:id="rId2"/>
    <sheet name="Sheet2" sheetId="3" r:id="rId3"/>
    <sheet name="Sheet3" sheetId="4" r:id="rId4"/>
  </sheets>
  <definedNames>
    <definedName name="Slicer_Date">#N/A</definedName>
    <definedName name="Slicer_Location">#N/A</definedName>
    <definedName name="Slicer_Road_Condition">#N/A</definedName>
    <definedName name="Slicer_Severity">#N/A</definedName>
    <definedName name="Slicer_Vehicle_Type">#N/A</definedName>
  </definedNames>
  <calcPr calcId="162913"/>
  <pivotCaches>
    <pivotCache cacheId="15" r:id="rId5"/>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4:slicerCache r:id="rId8"/>
        <x14:slicerCache r:id="rId9"/>
        <x14:slicerCache r:id="rId10"/>
      </x15:slicerCaches>
    </ext>
  </extLst>
</workbook>
</file>

<file path=xl/calcChain.xml><?xml version="1.0" encoding="utf-8"?>
<calcChain xmlns="http://schemas.openxmlformats.org/spreadsheetml/2006/main">
  <c r="B13" i="2" l="1"/>
  <c r="E10" i="2" s="1"/>
  <c r="E4" i="2" l="1"/>
  <c r="E6" i="2"/>
  <c r="E8" i="2"/>
  <c r="D3" i="2"/>
  <c r="D5" i="2"/>
  <c r="D7" i="2"/>
  <c r="D9" i="2"/>
  <c r="E3" i="2"/>
  <c r="E5" i="2"/>
  <c r="E7" i="2"/>
  <c r="E9" i="2"/>
  <c r="D4" i="2"/>
  <c r="D6" i="2"/>
  <c r="D8" i="2"/>
  <c r="D10" i="2"/>
</calcChain>
</file>

<file path=xl/sharedStrings.xml><?xml version="1.0" encoding="utf-8"?>
<sst xmlns="http://schemas.openxmlformats.org/spreadsheetml/2006/main" count="926" uniqueCount="207">
  <si>
    <t>Accident ID</t>
  </si>
  <si>
    <t>Date</t>
  </si>
  <si>
    <t>Location</t>
  </si>
  <si>
    <t>Accident Type</t>
  </si>
  <si>
    <t>Vehicle Type</t>
  </si>
  <si>
    <t>Weather Condition</t>
  </si>
  <si>
    <t>Road Condition</t>
  </si>
  <si>
    <t>Severity</t>
  </si>
  <si>
    <t>Cause</t>
  </si>
  <si>
    <t>Casualties</t>
  </si>
  <si>
    <t>AID0001</t>
  </si>
  <si>
    <t>Hyderabad</t>
  </si>
  <si>
    <t>Overturn</t>
  </si>
  <si>
    <t>Auto-Rickshaw</t>
  </si>
  <si>
    <t>Clear</t>
  </si>
  <si>
    <t>Dry</t>
  </si>
  <si>
    <t>Moderate</t>
  </si>
  <si>
    <t>Overtaking</t>
  </si>
  <si>
    <t>AID0002</t>
  </si>
  <si>
    <t>Mumbai</t>
  </si>
  <si>
    <t>Foggy</t>
  </si>
  <si>
    <t>Damaged</t>
  </si>
  <si>
    <t>Distracted Driving</t>
  </si>
  <si>
    <t>AID0003</t>
  </si>
  <si>
    <t>Bicycle</t>
  </si>
  <si>
    <t>Windy</t>
  </si>
  <si>
    <t>Under Construction</t>
  </si>
  <si>
    <t>Fatal</t>
  </si>
  <si>
    <t>AID0004</t>
  </si>
  <si>
    <t>Pune</t>
  </si>
  <si>
    <t>Collision</t>
  </si>
  <si>
    <t>Truck</t>
  </si>
  <si>
    <t>Brake Failure</t>
  </si>
  <si>
    <t>AID0005</t>
  </si>
  <si>
    <t>Bangalore</t>
  </si>
  <si>
    <t>Animal Hit</t>
  </si>
  <si>
    <t>Weather</t>
  </si>
  <si>
    <t>AID0006</t>
  </si>
  <si>
    <t>Car</t>
  </si>
  <si>
    <t>Rainy</t>
  </si>
  <si>
    <t>Minor</t>
  </si>
  <si>
    <t>Drunk Driving</t>
  </si>
  <si>
    <t>AID0007</t>
  </si>
  <si>
    <t>Delhi</t>
  </si>
  <si>
    <t>Speeding</t>
  </si>
  <si>
    <t>AID0008</t>
  </si>
  <si>
    <t>Wet</t>
  </si>
  <si>
    <t>AID0009</t>
  </si>
  <si>
    <t>AID0010</t>
  </si>
  <si>
    <t>Ahmedabad</t>
  </si>
  <si>
    <t>Motorcycle</t>
  </si>
  <si>
    <t>Severe</t>
  </si>
  <si>
    <t>AID0011</t>
  </si>
  <si>
    <t>Object Hit</t>
  </si>
  <si>
    <t>AID0012</t>
  </si>
  <si>
    <t>Pedestrian Hit</t>
  </si>
  <si>
    <t>AID0013</t>
  </si>
  <si>
    <t>AID0014</t>
  </si>
  <si>
    <t>Chennai</t>
  </si>
  <si>
    <t>Bus</t>
  </si>
  <si>
    <t>AID0015</t>
  </si>
  <si>
    <t>AID0016</t>
  </si>
  <si>
    <t>AID0017</t>
  </si>
  <si>
    <t>AID0018</t>
  </si>
  <si>
    <t>Kolkata</t>
  </si>
  <si>
    <t>AID0019</t>
  </si>
  <si>
    <t>AID0020</t>
  </si>
  <si>
    <t>AID0021</t>
  </si>
  <si>
    <t>AID0022</t>
  </si>
  <si>
    <t>AID0023</t>
  </si>
  <si>
    <t>AID0024</t>
  </si>
  <si>
    <t>AID0025</t>
  </si>
  <si>
    <t>AID0026</t>
  </si>
  <si>
    <t>AID0027</t>
  </si>
  <si>
    <t>AID0028</t>
  </si>
  <si>
    <t>AID0029</t>
  </si>
  <si>
    <t>AID0030</t>
  </si>
  <si>
    <t>AID0031</t>
  </si>
  <si>
    <t>AID0032</t>
  </si>
  <si>
    <t>AID0033</t>
  </si>
  <si>
    <t>AID0034</t>
  </si>
  <si>
    <t>AID0035</t>
  </si>
  <si>
    <t>AID0036</t>
  </si>
  <si>
    <t>AID0037</t>
  </si>
  <si>
    <t>AID0038</t>
  </si>
  <si>
    <t>AID0039</t>
  </si>
  <si>
    <t>AID0040</t>
  </si>
  <si>
    <t>AID0041</t>
  </si>
  <si>
    <t>AID0042</t>
  </si>
  <si>
    <t>AID0043</t>
  </si>
  <si>
    <t>AID0044</t>
  </si>
  <si>
    <t>AID0045</t>
  </si>
  <si>
    <t>AID0046</t>
  </si>
  <si>
    <t>AID0047</t>
  </si>
  <si>
    <t>AID0048</t>
  </si>
  <si>
    <t>AID0049</t>
  </si>
  <si>
    <t>AID0050</t>
  </si>
  <si>
    <t>AID0051</t>
  </si>
  <si>
    <t>AID0052</t>
  </si>
  <si>
    <t>AID0053</t>
  </si>
  <si>
    <t>AID0054</t>
  </si>
  <si>
    <t>AID0055</t>
  </si>
  <si>
    <t>AID0056</t>
  </si>
  <si>
    <t>AID0057</t>
  </si>
  <si>
    <t>AID0058</t>
  </si>
  <si>
    <t>AID0059</t>
  </si>
  <si>
    <t>AID0060</t>
  </si>
  <si>
    <t>AID0061</t>
  </si>
  <si>
    <t>AID0062</t>
  </si>
  <si>
    <t>AID0063</t>
  </si>
  <si>
    <t>AID0064</t>
  </si>
  <si>
    <t>AID0065</t>
  </si>
  <si>
    <t>AID0066</t>
  </si>
  <si>
    <t>AID0067</t>
  </si>
  <si>
    <t>AID0068</t>
  </si>
  <si>
    <t>AID0069</t>
  </si>
  <si>
    <t>AID0070</t>
  </si>
  <si>
    <t>AID0071</t>
  </si>
  <si>
    <t>AID0072</t>
  </si>
  <si>
    <t>AID0073</t>
  </si>
  <si>
    <t>AID0074</t>
  </si>
  <si>
    <t>AID0075</t>
  </si>
  <si>
    <t>AID0076</t>
  </si>
  <si>
    <t>AID0077</t>
  </si>
  <si>
    <t>AID0078</t>
  </si>
  <si>
    <t>AID0079</t>
  </si>
  <si>
    <t>AID0080</t>
  </si>
  <si>
    <t>AID0081</t>
  </si>
  <si>
    <t>AID0082</t>
  </si>
  <si>
    <t>AID0083</t>
  </si>
  <si>
    <t>AID0084</t>
  </si>
  <si>
    <t>AID0085</t>
  </si>
  <si>
    <t>AID0086</t>
  </si>
  <si>
    <t>AID0087</t>
  </si>
  <si>
    <t>AID0088</t>
  </si>
  <si>
    <t>AID0089</t>
  </si>
  <si>
    <t>AID0090</t>
  </si>
  <si>
    <t>AID0091</t>
  </si>
  <si>
    <t>AID0092</t>
  </si>
  <si>
    <t>AID0093</t>
  </si>
  <si>
    <t>AID0094</t>
  </si>
  <si>
    <t>AID0095</t>
  </si>
  <si>
    <t>AID0096</t>
  </si>
  <si>
    <t>AID0097</t>
  </si>
  <si>
    <t>AID0098</t>
  </si>
  <si>
    <t>AID0099</t>
  </si>
  <si>
    <t>AID0100</t>
  </si>
  <si>
    <t>Row Labels</t>
  </si>
  <si>
    <t>Grand Total</t>
  </si>
  <si>
    <t>Count of Accident ID</t>
  </si>
  <si>
    <t>Sum of Casualties</t>
  </si>
  <si>
    <t>Jan</t>
  </si>
  <si>
    <t>Feb</t>
  </si>
  <si>
    <t>Mar</t>
  </si>
  <si>
    <t>Apr</t>
  </si>
  <si>
    <t>May</t>
  </si>
  <si>
    <t>Jun</t>
  </si>
  <si>
    <t>Question 7 : You are provided with a dataset containing details of 100 road
accidents.Design a Road Accident Analysis Dashboard using Pivot Tables and
Slicers in Excel.</t>
  </si>
  <si>
    <r>
      <rPr>
        <b/>
        <sz val="11"/>
        <color theme="1"/>
        <rFont val="Arial"/>
        <family val="2"/>
        <scheme val="minor"/>
      </rPr>
      <t>Question 6</t>
    </r>
    <r>
      <rPr>
        <sz val="10"/>
        <color rgb="FF000000"/>
        <rFont val="Arial"/>
        <scheme val="minor"/>
      </rPr>
      <t xml:space="preserve"> : Create a dataset of 8 employees with joining dates. Use the dummy
dataset to calculate their experience in years and months</t>
    </r>
  </si>
  <si>
    <t>Employee ID</t>
  </si>
  <si>
    <t>Employee Name</t>
  </si>
  <si>
    <t>Joining Date</t>
  </si>
  <si>
    <t>Experience(Year)</t>
  </si>
  <si>
    <t>Experience(Month)</t>
  </si>
  <si>
    <t>E001</t>
  </si>
  <si>
    <t>Amit</t>
  </si>
  <si>
    <t>E002</t>
  </si>
  <si>
    <t>Neha</t>
  </si>
  <si>
    <t>E003</t>
  </si>
  <si>
    <t>Rahul</t>
  </si>
  <si>
    <t>E004</t>
  </si>
  <si>
    <t>Priya</t>
  </si>
  <si>
    <t>E005</t>
  </si>
  <si>
    <t>Ankit</t>
  </si>
  <si>
    <t>E006</t>
  </si>
  <si>
    <t>Kavita</t>
  </si>
  <si>
    <t>E007</t>
  </si>
  <si>
    <t>Rohan</t>
  </si>
  <si>
    <t>E008</t>
  </si>
  <si>
    <t>Sneha</t>
  </si>
  <si>
    <t>Today</t>
  </si>
  <si>
    <t>Product ID</t>
  </si>
  <si>
    <t>Product Name</t>
  </si>
  <si>
    <t>Stock Level</t>
  </si>
  <si>
    <t>P001</t>
  </si>
  <si>
    <t>Laptop</t>
  </si>
  <si>
    <t>P002</t>
  </si>
  <si>
    <t>Mouse</t>
  </si>
  <si>
    <t>P003</t>
  </si>
  <si>
    <t>Keyboard</t>
  </si>
  <si>
    <t>P004</t>
  </si>
  <si>
    <t>Monitor</t>
  </si>
  <si>
    <t>P005</t>
  </si>
  <si>
    <t>Printer</t>
  </si>
  <si>
    <t>P006</t>
  </si>
  <si>
    <t>Scanner</t>
  </si>
  <si>
    <t>P007</t>
  </si>
  <si>
    <t>Webcam</t>
  </si>
  <si>
    <t>P008</t>
  </si>
  <si>
    <t>Headphones</t>
  </si>
  <si>
    <t>P009</t>
  </si>
  <si>
    <t>USB Drive</t>
  </si>
  <si>
    <t>P010</t>
  </si>
  <si>
    <t>Router</t>
  </si>
  <si>
    <t>mcro</t>
  </si>
  <si>
    <t>ctrl +j</t>
  </si>
  <si>
    <t>Question 8 : Create a table of 10 products with stock levels. Use Macros to highlight:
● Low stock (less than 10 units) in red
● Overstock (more than 50 units) in green.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</si>
</sst>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7" x14ac:knownFonts="1">
    <font>
      <sz val="10"/>
      <color rgb="FF000000"/>
      <name val="Arial"/>
      <scheme val="minor"/>
    </font>
    <font>
      <b/>
      <sz val="10"/>
      <color theme="1"/>
      <name val="Arial"/>
      <family val="2"/>
      <scheme val="minor"/>
    </font>
    <font>
      <sz val="10"/>
      <color theme="1"/>
      <name val="Arial"/>
      <family val="2"/>
      <scheme val="minor"/>
    </font>
    <font>
      <sz val="10"/>
      <color rgb="FF000000"/>
      <name val="Arial"/>
      <family val="2"/>
      <scheme val="minor"/>
    </font>
    <font>
      <b/>
      <sz val="11"/>
      <color theme="1"/>
      <name val="Arial"/>
      <family val="2"/>
      <scheme val="minor"/>
    </font>
    <font>
      <sz val="10"/>
      <color rgb="FF000000"/>
      <name val="Bell MT"/>
      <family val="1"/>
    </font>
    <font>
      <sz val="10"/>
      <color rgb="FF000000"/>
      <name val="Bodoni MT"/>
      <family val="1"/>
    </font>
  </fonts>
  <fills count="4">
    <fill>
      <patternFill patternType="none"/>
    </fill>
    <fill>
      <patternFill patternType="gray125"/>
    </fill>
    <fill>
      <patternFill patternType="solid">
        <fgColor theme="0" tint="-0.249977111117893"/>
        <bgColor indexed="64"/>
      </patternFill>
    </fill>
    <fill>
      <patternFill patternType="solid">
        <fgColor theme="6"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applyFont="1" applyAlignment="1"/>
    <xf numFmtId="0" fontId="1" fillId="0" borderId="0" xfId="0" applyFont="1" applyAlignment="1"/>
    <xf numFmtId="0" fontId="2" fillId="0" borderId="0" xfId="0" applyFont="1" applyAlignment="1"/>
    <xf numFmtId="164" fontId="2" fillId="0" borderId="0" xfId="0" applyNumberFormat="1" applyFont="1" applyAlignment="1"/>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0" fontId="0" fillId="0" borderId="0" xfId="0" applyFont="1" applyAlignment="1">
      <alignment horizontal="center"/>
    </xf>
    <xf numFmtId="0" fontId="0" fillId="0" borderId="0" xfId="0" applyFont="1" applyAlignment="1">
      <alignment horizontal="center"/>
    </xf>
    <xf numFmtId="0" fontId="3" fillId="0" borderId="0" xfId="0" applyFont="1" applyAlignment="1">
      <alignment horizontal="center" wrapText="1"/>
    </xf>
    <xf numFmtId="0" fontId="0" fillId="0" borderId="0" xfId="0" applyAlignment="1">
      <alignment horizontal="center" wrapText="1"/>
    </xf>
    <xf numFmtId="0" fontId="0" fillId="0" borderId="0" xfId="0" applyAlignment="1">
      <alignment horizontal="center"/>
    </xf>
    <xf numFmtId="0" fontId="4" fillId="2" borderId="1" xfId="0" applyFont="1" applyFill="1" applyBorder="1" applyAlignment="1">
      <alignment horizontal="center" vertical="center" wrapText="1"/>
    </xf>
    <xf numFmtId="0" fontId="0" fillId="0" borderId="0" xfId="0"/>
    <xf numFmtId="0" fontId="0" fillId="0" borderId="1" xfId="0" applyBorder="1" applyAlignment="1">
      <alignment vertical="center" wrapText="1"/>
    </xf>
    <xf numFmtId="15" fontId="0" fillId="0" borderId="1" xfId="0" applyNumberFormat="1" applyBorder="1" applyAlignment="1">
      <alignment vertical="center" wrapText="1"/>
    </xf>
    <xf numFmtId="0" fontId="0" fillId="0" borderId="1" xfId="0" applyBorder="1"/>
    <xf numFmtId="14" fontId="0" fillId="0" borderId="1" xfId="0" applyNumberFormat="1" applyBorder="1"/>
    <xf numFmtId="0" fontId="5" fillId="2" borderId="0" xfId="0" applyFont="1" applyFill="1" applyAlignment="1"/>
    <xf numFmtId="0" fontId="0" fillId="0" borderId="1" xfId="0" applyFont="1" applyBorder="1" applyAlignment="1"/>
    <xf numFmtId="0" fontId="3" fillId="0" borderId="0" xfId="0" applyFont="1" applyAlignment="1"/>
    <xf numFmtId="0" fontId="6" fillId="3" borderId="1" xfId="0" applyFont="1" applyFill="1" applyBorder="1" applyAlignment="1"/>
    <xf numFmtId="0" fontId="3" fillId="0" borderId="0" xfId="0" applyFont="1" applyAlignment="1">
      <alignment horizontal="center" wrapText="1"/>
    </xf>
  </cellXfs>
  <cellStyles count="1">
    <cellStyle name="Normal" xfId="0" builtinId="0"/>
  </cellStyles>
  <dxfs count="12">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yyyy\-mm\-dd"/>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4</xdr:row>
      <xdr:rowOff>685800</xdr:rowOff>
    </xdr:from>
    <xdr:to>
      <xdr:col>1</xdr:col>
      <xdr:colOff>1390649</xdr:colOff>
      <xdr:row>13</xdr:row>
      <xdr:rowOff>180975</xdr:rowOff>
    </xdr:to>
    <mc:AlternateContent xmlns:mc="http://schemas.openxmlformats.org/markup-compatibility/2006">
      <mc:Choice xmlns:sle15="http://schemas.microsoft.com/office/drawing/2012/slicer" Requires="sle15">
        <xdr:graphicFrame macro="">
          <xdr:nvGraphicFramePr>
            <xdr:cNvPr id="2" name="Date"/>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1447800" y="1085850"/>
              <a:ext cx="1390649" cy="18192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57150</xdr:colOff>
      <xdr:row>5</xdr:row>
      <xdr:rowOff>19049</xdr:rowOff>
    </xdr:from>
    <xdr:to>
      <xdr:col>3</xdr:col>
      <xdr:colOff>95250</xdr:colOff>
      <xdr:row>13</xdr:row>
      <xdr:rowOff>190499</xdr:rowOff>
    </xdr:to>
    <mc:AlternateContent xmlns:mc="http://schemas.openxmlformats.org/markup-compatibility/2006">
      <mc:Choice xmlns:sle15="http://schemas.microsoft.com/office/drawing/2012/slicer" Requires="sle15">
        <xdr:graphicFrame macro="">
          <xdr:nvGraphicFramePr>
            <xdr:cNvPr id="3" name="Location"/>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2952750" y="1114424"/>
              <a:ext cx="1485900" cy="18002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19050</xdr:colOff>
      <xdr:row>5</xdr:row>
      <xdr:rowOff>190500</xdr:rowOff>
    </xdr:from>
    <xdr:to>
      <xdr:col>4</xdr:col>
      <xdr:colOff>1438275</xdr:colOff>
      <xdr:row>14</xdr:row>
      <xdr:rowOff>180975</xdr:rowOff>
    </xdr:to>
    <mc:AlternateContent xmlns:mc="http://schemas.openxmlformats.org/markup-compatibility/2006">
      <mc:Choice xmlns:sle15="http://schemas.microsoft.com/office/drawing/2012/slicer" Requires="sle15">
        <xdr:graphicFrame macro="">
          <xdr:nvGraphicFramePr>
            <xdr:cNvPr id="4" name="Vehicle Type"/>
            <xdr:cNvGraphicFramePr/>
          </xdr:nvGraphicFramePr>
          <xdr:xfrm>
            <a:off x="0" y="0"/>
            <a:ext cx="0" cy="0"/>
          </xdr:xfrm>
          <a:graphic>
            <a:graphicData uri="http://schemas.microsoft.com/office/drawing/2010/slicer">
              <sle:slicer xmlns:sle="http://schemas.microsoft.com/office/drawing/2010/slicer" name="Vehicle Type"/>
            </a:graphicData>
          </a:graphic>
        </xdr:graphicFrame>
      </mc:Choice>
      <mc:Fallback>
        <xdr:sp macro="" textlink="">
          <xdr:nvSpPr>
            <xdr:cNvPr id="0" name=""/>
            <xdr:cNvSpPr>
              <a:spLocks noTextEdit="1"/>
            </xdr:cNvSpPr>
          </xdr:nvSpPr>
          <xdr:spPr>
            <a:xfrm>
              <a:off x="5810250" y="1285875"/>
              <a:ext cx="1419225" cy="18192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76200</xdr:colOff>
      <xdr:row>5</xdr:row>
      <xdr:rowOff>66675</xdr:rowOff>
    </xdr:from>
    <xdr:to>
      <xdr:col>7</xdr:col>
      <xdr:colOff>9525</xdr:colOff>
      <xdr:row>14</xdr:row>
      <xdr:rowOff>47625</xdr:rowOff>
    </xdr:to>
    <mc:AlternateContent xmlns:mc="http://schemas.openxmlformats.org/markup-compatibility/2006">
      <mc:Choice xmlns:sle15="http://schemas.microsoft.com/office/drawing/2012/slicer" Requires="sle15">
        <xdr:graphicFrame macro="">
          <xdr:nvGraphicFramePr>
            <xdr:cNvPr id="5" name="Road Condition"/>
            <xdr:cNvGraphicFramePr/>
          </xdr:nvGraphicFramePr>
          <xdr:xfrm>
            <a:off x="0" y="0"/>
            <a:ext cx="0" cy="0"/>
          </xdr:xfrm>
          <a:graphic>
            <a:graphicData uri="http://schemas.microsoft.com/office/drawing/2010/slicer">
              <sle:slicer xmlns:sle="http://schemas.microsoft.com/office/drawing/2010/slicer" name="Road Condition"/>
            </a:graphicData>
          </a:graphic>
        </xdr:graphicFrame>
      </mc:Choice>
      <mc:Fallback>
        <xdr:sp macro="" textlink="">
          <xdr:nvSpPr>
            <xdr:cNvPr id="0" name=""/>
            <xdr:cNvSpPr>
              <a:spLocks noTextEdit="1"/>
            </xdr:cNvSpPr>
          </xdr:nvSpPr>
          <xdr:spPr>
            <a:xfrm>
              <a:off x="8763000" y="1162050"/>
              <a:ext cx="1381125" cy="18097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95249</xdr:colOff>
      <xdr:row>5</xdr:row>
      <xdr:rowOff>66675</xdr:rowOff>
    </xdr:from>
    <xdr:to>
      <xdr:col>8</xdr:col>
      <xdr:colOff>85724</xdr:colOff>
      <xdr:row>14</xdr:row>
      <xdr:rowOff>47625</xdr:rowOff>
    </xdr:to>
    <mc:AlternateContent xmlns:mc="http://schemas.openxmlformats.org/markup-compatibility/2006">
      <mc:Choice xmlns:sle15="http://schemas.microsoft.com/office/drawing/2012/slicer" Requires="sle15">
        <xdr:graphicFrame macro="">
          <xdr:nvGraphicFramePr>
            <xdr:cNvPr id="6" name="Severity"/>
            <xdr:cNvGraphicFramePr/>
          </xdr:nvGraphicFramePr>
          <xdr:xfrm>
            <a:off x="0" y="0"/>
            <a:ext cx="0" cy="0"/>
          </xdr:xfrm>
          <a:graphic>
            <a:graphicData uri="http://schemas.microsoft.com/office/drawing/2010/slicer">
              <sle:slicer xmlns:sle="http://schemas.microsoft.com/office/drawing/2010/slicer" name="Severity"/>
            </a:graphicData>
          </a:graphic>
        </xdr:graphicFrame>
      </mc:Choice>
      <mc:Fallback>
        <xdr:sp macro="" textlink="">
          <xdr:nvSpPr>
            <xdr:cNvPr id="0" name=""/>
            <xdr:cNvSpPr>
              <a:spLocks noTextEdit="1"/>
            </xdr:cNvSpPr>
          </xdr:nvSpPr>
          <xdr:spPr>
            <a:xfrm>
              <a:off x="10229849" y="1162050"/>
              <a:ext cx="1438275" cy="18097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030.802202430554" createdVersion="6" refreshedVersion="6" minRefreshableVersion="3" recordCount="100">
  <cacheSource type="worksheet">
    <worksheetSource ref="A16:J116" sheet="Road_Accident_Dataset_100_Rows"/>
  </cacheSource>
  <cacheFields count="11">
    <cacheField name="Accident ID" numFmtId="0">
      <sharedItems/>
    </cacheField>
    <cacheField name="Date" numFmtId="164">
      <sharedItems containsSemiMixedTypes="0" containsNonDate="0" containsDate="1" containsString="0" minDate="2024-01-01T00:00:00" maxDate="2024-06-27T00:00:00" count="81">
        <d v="2024-01-01T00:00:00"/>
        <d v="2024-03-29T00:00:00"/>
        <d v="2024-01-05T00:00:00"/>
        <d v="2024-06-02T00:00:00"/>
        <d v="2024-02-28T00:00:00"/>
        <d v="2024-04-17T00:00:00"/>
        <d v="2024-02-16T00:00:00"/>
        <d v="2024-03-18T00:00:00"/>
        <d v="2024-05-13T00:00:00"/>
        <d v="2024-01-16T00:00:00"/>
        <d v="2024-01-08T00:00:00"/>
        <d v="2024-06-25T00:00:00"/>
        <d v="2024-04-02T00:00:00"/>
        <d v="2024-03-27T00:00:00"/>
        <d v="2024-05-19T00:00:00"/>
        <d v="2024-03-03T00:00:00"/>
        <d v="2024-03-08T00:00:00"/>
        <d v="2024-06-26T00:00:00"/>
        <d v="2024-01-26T00:00:00"/>
        <d v="2024-02-05T00:00:00"/>
        <d v="2024-06-07T00:00:00"/>
        <d v="2024-02-24T00:00:00"/>
        <d v="2024-06-04T00:00:00"/>
        <d v="2024-05-30T00:00:00"/>
        <d v="2024-04-04T00:00:00"/>
        <d v="2024-05-10T00:00:00"/>
        <d v="2024-03-02T00:00:00"/>
        <d v="2024-04-16T00:00:00"/>
        <d v="2024-06-09T00:00:00"/>
        <d v="2024-02-25T00:00:00"/>
        <d v="2024-06-24T00:00:00"/>
        <d v="2024-04-21T00:00:00"/>
        <d v="2024-01-02T00:00:00"/>
        <d v="2024-05-24T00:00:00"/>
        <d v="2024-01-23T00:00:00"/>
        <d v="2024-04-26T00:00:00"/>
        <d v="2024-03-14T00:00:00"/>
        <d v="2024-01-10T00:00:00"/>
        <d v="2024-04-28T00:00:00"/>
        <d v="2024-03-19T00:00:00"/>
        <d v="2024-03-20T00:00:00"/>
        <d v="2024-05-05T00:00:00"/>
        <d v="2024-04-20T00:00:00"/>
        <d v="2024-06-23T00:00:00"/>
        <d v="2024-04-01T00:00:00"/>
        <d v="2024-01-20T00:00:00"/>
        <d v="2024-02-23T00:00:00"/>
        <d v="2024-05-21T00:00:00"/>
        <d v="2024-03-23T00:00:00"/>
        <d v="2024-03-16T00:00:00"/>
        <d v="2024-05-14T00:00:00"/>
        <d v="2024-05-11T00:00:00"/>
        <d v="2024-03-04T00:00:00"/>
        <d v="2024-06-10T00:00:00"/>
        <d v="2024-03-09T00:00:00"/>
        <d v="2024-02-15T00:00:00"/>
        <d v="2024-01-11T00:00:00"/>
        <d v="2024-05-18T00:00:00"/>
        <d v="2024-06-05T00:00:00"/>
        <d v="2024-03-01T00:00:00"/>
        <d v="2024-06-17T00:00:00"/>
        <d v="2024-05-25T00:00:00"/>
        <d v="2024-02-08T00:00:00"/>
        <d v="2024-03-31T00:00:00"/>
        <d v="2024-02-07T00:00:00"/>
        <d v="2024-03-24T00:00:00"/>
        <d v="2024-01-29T00:00:00"/>
        <d v="2024-04-22T00:00:00"/>
        <d v="2024-05-12T00:00:00"/>
        <d v="2024-01-28T00:00:00"/>
        <d v="2024-01-17T00:00:00"/>
        <d v="2024-06-14T00:00:00"/>
        <d v="2024-03-22T00:00:00"/>
        <d v="2024-01-03T00:00:00"/>
        <d v="2024-06-15T00:00:00"/>
        <d v="2024-04-07T00:00:00"/>
        <d v="2024-06-13T00:00:00"/>
        <d v="2024-02-20T00:00:00"/>
        <d v="2024-01-22T00:00:00"/>
        <d v="2024-04-08T00:00:00"/>
        <d v="2024-06-21T00:00:00"/>
      </sharedItems>
      <fieldGroup par="10" base="1">
        <rangePr groupBy="days" startDate="2024-01-01T00:00:00" endDate="2024-06-27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27/2024"/>
        </groupItems>
      </fieldGroup>
    </cacheField>
    <cacheField name="Location" numFmtId="0">
      <sharedItems count="8">
        <s v="Hyderabad"/>
        <s v="Mumbai"/>
        <s v="Pune"/>
        <s v="Bangalore"/>
        <s v="Delhi"/>
        <s v="Ahmedabad"/>
        <s v="Chennai"/>
        <s v="Kolkata"/>
      </sharedItems>
    </cacheField>
    <cacheField name="Accident Type" numFmtId="0">
      <sharedItems/>
    </cacheField>
    <cacheField name="Vehicle Type" numFmtId="0">
      <sharedItems/>
    </cacheField>
    <cacheField name="Weather Condition" numFmtId="0">
      <sharedItems/>
    </cacheField>
    <cacheField name="Road Condition" numFmtId="0">
      <sharedItems count="4">
        <s v="Dry"/>
        <s v="Damaged"/>
        <s v="Under Construction"/>
        <s v="Wet"/>
      </sharedItems>
    </cacheField>
    <cacheField name="Severity" numFmtId="0">
      <sharedItems count="4">
        <s v="Moderate"/>
        <s v="Fatal"/>
        <s v="Minor"/>
        <s v="Severe"/>
      </sharedItems>
    </cacheField>
    <cacheField name="Cause" numFmtId="0">
      <sharedItems count="6">
        <s v="Overtaking"/>
        <s v="Distracted Driving"/>
        <s v="Brake Failure"/>
        <s v="Weather"/>
        <s v="Drunk Driving"/>
        <s v="Speeding"/>
      </sharedItems>
    </cacheField>
    <cacheField name="Casualties" numFmtId="0">
      <sharedItems containsSemiMixedTypes="0" containsString="0" containsNumber="1" containsInteger="1" minValue="0" maxValue="5"/>
    </cacheField>
    <cacheField name="Months" numFmtId="0" databaseField="0">
      <fieldGroup base="1">
        <rangePr groupBy="months" startDate="2024-01-01T00:00:00" endDate="2024-06-27T00:00:00"/>
        <groupItems count="14">
          <s v="&lt;1/1/2024"/>
          <s v="Jan"/>
          <s v="Feb"/>
          <s v="Mar"/>
          <s v="Apr"/>
          <s v="May"/>
          <s v="Jun"/>
          <s v="Jul"/>
          <s v="Aug"/>
          <s v="Sep"/>
          <s v="Oct"/>
          <s v="Nov"/>
          <s v="Dec"/>
          <s v="&gt;6/27/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0">
  <r>
    <s v="AID0001"/>
    <x v="0"/>
    <x v="0"/>
    <s v="Overturn"/>
    <s v="Auto-Rickshaw"/>
    <s v="Clear"/>
    <x v="0"/>
    <x v="0"/>
    <x v="0"/>
    <n v="0"/>
  </r>
  <r>
    <s v="AID0002"/>
    <x v="1"/>
    <x v="1"/>
    <s v="Overturn"/>
    <s v="Auto-Rickshaw"/>
    <s v="Foggy"/>
    <x v="1"/>
    <x v="0"/>
    <x v="1"/>
    <n v="0"/>
  </r>
  <r>
    <s v="AID0003"/>
    <x v="2"/>
    <x v="1"/>
    <s v="Overturn"/>
    <s v="Bicycle"/>
    <s v="Windy"/>
    <x v="2"/>
    <x v="1"/>
    <x v="0"/>
    <n v="3"/>
  </r>
  <r>
    <s v="AID0004"/>
    <x v="3"/>
    <x v="2"/>
    <s v="Collision"/>
    <s v="Truck"/>
    <s v="Clear"/>
    <x v="0"/>
    <x v="1"/>
    <x v="2"/>
    <n v="4"/>
  </r>
  <r>
    <s v="AID0005"/>
    <x v="4"/>
    <x v="3"/>
    <s v="Animal Hit"/>
    <s v="Auto-Rickshaw"/>
    <s v="Clear"/>
    <x v="1"/>
    <x v="0"/>
    <x v="3"/>
    <n v="0"/>
  </r>
  <r>
    <s v="AID0006"/>
    <x v="5"/>
    <x v="3"/>
    <s v="Animal Hit"/>
    <s v="Car"/>
    <s v="Rainy"/>
    <x v="1"/>
    <x v="2"/>
    <x v="4"/>
    <n v="4"/>
  </r>
  <r>
    <s v="AID0007"/>
    <x v="6"/>
    <x v="4"/>
    <s v="Animal Hit"/>
    <s v="Car"/>
    <s v="Rainy"/>
    <x v="0"/>
    <x v="2"/>
    <x v="5"/>
    <n v="2"/>
  </r>
  <r>
    <s v="AID0008"/>
    <x v="7"/>
    <x v="0"/>
    <s v="Overturn"/>
    <s v="Car"/>
    <s v="Foggy"/>
    <x v="3"/>
    <x v="0"/>
    <x v="5"/>
    <n v="5"/>
  </r>
  <r>
    <s v="AID0009"/>
    <x v="8"/>
    <x v="1"/>
    <s v="Collision"/>
    <s v="Car"/>
    <s v="Windy"/>
    <x v="2"/>
    <x v="2"/>
    <x v="3"/>
    <n v="2"/>
  </r>
  <r>
    <s v="AID0010"/>
    <x v="9"/>
    <x v="5"/>
    <s v="Collision"/>
    <s v="Motorcycle"/>
    <s v="Clear"/>
    <x v="2"/>
    <x v="3"/>
    <x v="5"/>
    <n v="5"/>
  </r>
  <r>
    <s v="AID0011"/>
    <x v="10"/>
    <x v="2"/>
    <s v="Object Hit"/>
    <s v="Auto-Rickshaw"/>
    <s v="Clear"/>
    <x v="1"/>
    <x v="1"/>
    <x v="0"/>
    <n v="0"/>
  </r>
  <r>
    <s v="AID0012"/>
    <x v="11"/>
    <x v="5"/>
    <s v="Pedestrian Hit"/>
    <s v="Car"/>
    <s v="Clear"/>
    <x v="2"/>
    <x v="3"/>
    <x v="0"/>
    <n v="3"/>
  </r>
  <r>
    <s v="AID0013"/>
    <x v="1"/>
    <x v="3"/>
    <s v="Pedestrian Hit"/>
    <s v="Bicycle"/>
    <s v="Rainy"/>
    <x v="3"/>
    <x v="3"/>
    <x v="5"/>
    <n v="1"/>
  </r>
  <r>
    <s v="AID0014"/>
    <x v="12"/>
    <x v="6"/>
    <s v="Overturn"/>
    <s v="Bus"/>
    <s v="Foggy"/>
    <x v="0"/>
    <x v="3"/>
    <x v="4"/>
    <n v="2"/>
  </r>
  <r>
    <s v="AID0015"/>
    <x v="13"/>
    <x v="6"/>
    <s v="Pedestrian Hit"/>
    <s v="Motorcycle"/>
    <s v="Foggy"/>
    <x v="2"/>
    <x v="0"/>
    <x v="2"/>
    <n v="1"/>
  </r>
  <r>
    <s v="AID0016"/>
    <x v="14"/>
    <x v="6"/>
    <s v="Overturn"/>
    <s v="Truck"/>
    <s v="Foggy"/>
    <x v="1"/>
    <x v="3"/>
    <x v="1"/>
    <n v="5"/>
  </r>
  <r>
    <s v="AID0017"/>
    <x v="15"/>
    <x v="0"/>
    <s v="Collision"/>
    <s v="Motorcycle"/>
    <s v="Windy"/>
    <x v="2"/>
    <x v="0"/>
    <x v="1"/>
    <n v="4"/>
  </r>
  <r>
    <s v="AID0018"/>
    <x v="16"/>
    <x v="7"/>
    <s v="Overturn"/>
    <s v="Car"/>
    <s v="Windy"/>
    <x v="2"/>
    <x v="0"/>
    <x v="2"/>
    <n v="3"/>
  </r>
  <r>
    <s v="AID0019"/>
    <x v="17"/>
    <x v="4"/>
    <s v="Overturn"/>
    <s v="Motorcycle"/>
    <s v="Rainy"/>
    <x v="3"/>
    <x v="3"/>
    <x v="4"/>
    <n v="4"/>
  </r>
  <r>
    <s v="AID0020"/>
    <x v="18"/>
    <x v="4"/>
    <s v="Collision"/>
    <s v="Bicycle"/>
    <s v="Rainy"/>
    <x v="1"/>
    <x v="0"/>
    <x v="2"/>
    <n v="5"/>
  </r>
  <r>
    <s v="AID0021"/>
    <x v="19"/>
    <x v="2"/>
    <s v="Animal Hit"/>
    <s v="Motorcycle"/>
    <s v="Windy"/>
    <x v="1"/>
    <x v="2"/>
    <x v="1"/>
    <n v="5"/>
  </r>
  <r>
    <s v="AID0022"/>
    <x v="20"/>
    <x v="0"/>
    <s v="Object Hit"/>
    <s v="Truck"/>
    <s v="Foggy"/>
    <x v="2"/>
    <x v="1"/>
    <x v="3"/>
    <n v="4"/>
  </r>
  <r>
    <s v="AID0023"/>
    <x v="13"/>
    <x v="6"/>
    <s v="Collision"/>
    <s v="Bicycle"/>
    <s v="Rainy"/>
    <x v="2"/>
    <x v="3"/>
    <x v="3"/>
    <n v="4"/>
  </r>
  <r>
    <s v="AID0024"/>
    <x v="21"/>
    <x v="1"/>
    <s v="Object Hit"/>
    <s v="Truck"/>
    <s v="Rainy"/>
    <x v="0"/>
    <x v="0"/>
    <x v="0"/>
    <n v="0"/>
  </r>
  <r>
    <s v="AID0025"/>
    <x v="22"/>
    <x v="4"/>
    <s v="Animal Hit"/>
    <s v="Motorcycle"/>
    <s v="Rainy"/>
    <x v="1"/>
    <x v="1"/>
    <x v="4"/>
    <n v="1"/>
  </r>
  <r>
    <s v="AID0026"/>
    <x v="23"/>
    <x v="2"/>
    <s v="Collision"/>
    <s v="Bus"/>
    <s v="Clear"/>
    <x v="1"/>
    <x v="0"/>
    <x v="3"/>
    <n v="0"/>
  </r>
  <r>
    <s v="AID0027"/>
    <x v="24"/>
    <x v="0"/>
    <s v="Pedestrian Hit"/>
    <s v="Car"/>
    <s v="Windy"/>
    <x v="3"/>
    <x v="1"/>
    <x v="0"/>
    <n v="0"/>
  </r>
  <r>
    <s v="AID0028"/>
    <x v="25"/>
    <x v="0"/>
    <s v="Overturn"/>
    <s v="Bicycle"/>
    <s v="Foggy"/>
    <x v="0"/>
    <x v="3"/>
    <x v="2"/>
    <n v="4"/>
  </r>
  <r>
    <s v="AID0029"/>
    <x v="26"/>
    <x v="6"/>
    <s v="Animal Hit"/>
    <s v="Auto-Rickshaw"/>
    <s v="Rainy"/>
    <x v="1"/>
    <x v="3"/>
    <x v="3"/>
    <n v="4"/>
  </r>
  <r>
    <s v="AID0030"/>
    <x v="27"/>
    <x v="2"/>
    <s v="Pedestrian Hit"/>
    <s v="Car"/>
    <s v="Foggy"/>
    <x v="2"/>
    <x v="3"/>
    <x v="1"/>
    <n v="0"/>
  </r>
  <r>
    <s v="AID0031"/>
    <x v="28"/>
    <x v="7"/>
    <s v="Object Hit"/>
    <s v="Motorcycle"/>
    <s v="Rainy"/>
    <x v="3"/>
    <x v="3"/>
    <x v="0"/>
    <n v="5"/>
  </r>
  <r>
    <s v="AID0032"/>
    <x v="29"/>
    <x v="6"/>
    <s v="Pedestrian Hit"/>
    <s v="Auto-Rickshaw"/>
    <s v="Rainy"/>
    <x v="1"/>
    <x v="1"/>
    <x v="4"/>
    <n v="2"/>
  </r>
  <r>
    <s v="AID0033"/>
    <x v="30"/>
    <x v="2"/>
    <s v="Object Hit"/>
    <s v="Auto-Rickshaw"/>
    <s v="Windy"/>
    <x v="1"/>
    <x v="1"/>
    <x v="1"/>
    <n v="1"/>
  </r>
  <r>
    <s v="AID0034"/>
    <x v="31"/>
    <x v="7"/>
    <s v="Animal Hit"/>
    <s v="Bicycle"/>
    <s v="Clear"/>
    <x v="2"/>
    <x v="2"/>
    <x v="4"/>
    <n v="1"/>
  </r>
  <r>
    <s v="AID0035"/>
    <x v="32"/>
    <x v="1"/>
    <s v="Overturn"/>
    <s v="Truck"/>
    <s v="Clear"/>
    <x v="3"/>
    <x v="3"/>
    <x v="5"/>
    <n v="3"/>
  </r>
  <r>
    <s v="AID0036"/>
    <x v="33"/>
    <x v="7"/>
    <s v="Animal Hit"/>
    <s v="Auto-Rickshaw"/>
    <s v="Clear"/>
    <x v="3"/>
    <x v="0"/>
    <x v="1"/>
    <n v="4"/>
  </r>
  <r>
    <s v="AID0037"/>
    <x v="18"/>
    <x v="5"/>
    <s v="Object Hit"/>
    <s v="Motorcycle"/>
    <s v="Clear"/>
    <x v="2"/>
    <x v="2"/>
    <x v="0"/>
    <n v="5"/>
  </r>
  <r>
    <s v="AID0038"/>
    <x v="34"/>
    <x v="3"/>
    <s v="Overturn"/>
    <s v="Auto-Rickshaw"/>
    <s v="Windy"/>
    <x v="2"/>
    <x v="3"/>
    <x v="5"/>
    <n v="0"/>
  </r>
  <r>
    <s v="AID0039"/>
    <x v="35"/>
    <x v="2"/>
    <s v="Animal Hit"/>
    <s v="Car"/>
    <s v="Foggy"/>
    <x v="2"/>
    <x v="1"/>
    <x v="5"/>
    <n v="2"/>
  </r>
  <r>
    <s v="AID0040"/>
    <x v="36"/>
    <x v="0"/>
    <s v="Overturn"/>
    <s v="Auto-Rickshaw"/>
    <s v="Rainy"/>
    <x v="1"/>
    <x v="1"/>
    <x v="3"/>
    <n v="1"/>
  </r>
  <r>
    <s v="AID0041"/>
    <x v="37"/>
    <x v="0"/>
    <s v="Animal Hit"/>
    <s v="Auto-Rickshaw"/>
    <s v="Clear"/>
    <x v="3"/>
    <x v="2"/>
    <x v="2"/>
    <n v="4"/>
  </r>
  <r>
    <s v="AID0042"/>
    <x v="38"/>
    <x v="1"/>
    <s v="Collision"/>
    <s v="Car"/>
    <s v="Foggy"/>
    <x v="2"/>
    <x v="2"/>
    <x v="5"/>
    <n v="2"/>
  </r>
  <r>
    <s v="AID0043"/>
    <x v="34"/>
    <x v="3"/>
    <s v="Overturn"/>
    <s v="Bicycle"/>
    <s v="Windy"/>
    <x v="2"/>
    <x v="2"/>
    <x v="2"/>
    <n v="2"/>
  </r>
  <r>
    <s v="AID0044"/>
    <x v="39"/>
    <x v="0"/>
    <s v="Animal Hit"/>
    <s v="Car"/>
    <s v="Windy"/>
    <x v="3"/>
    <x v="1"/>
    <x v="3"/>
    <n v="4"/>
  </r>
  <r>
    <s v="AID0045"/>
    <x v="40"/>
    <x v="0"/>
    <s v="Overturn"/>
    <s v="Bus"/>
    <s v="Clear"/>
    <x v="3"/>
    <x v="3"/>
    <x v="2"/>
    <n v="3"/>
  </r>
  <r>
    <s v="AID0046"/>
    <x v="41"/>
    <x v="1"/>
    <s v="Animal Hit"/>
    <s v="Motorcycle"/>
    <s v="Rainy"/>
    <x v="0"/>
    <x v="2"/>
    <x v="5"/>
    <n v="0"/>
  </r>
  <r>
    <s v="AID0047"/>
    <x v="42"/>
    <x v="0"/>
    <s v="Overturn"/>
    <s v="Car"/>
    <s v="Foggy"/>
    <x v="0"/>
    <x v="3"/>
    <x v="0"/>
    <n v="1"/>
  </r>
  <r>
    <s v="AID0048"/>
    <x v="43"/>
    <x v="6"/>
    <s v="Animal Hit"/>
    <s v="Motorcycle"/>
    <s v="Rainy"/>
    <x v="3"/>
    <x v="1"/>
    <x v="4"/>
    <n v="0"/>
  </r>
  <r>
    <s v="AID0049"/>
    <x v="7"/>
    <x v="7"/>
    <s v="Collision"/>
    <s v="Motorcycle"/>
    <s v="Clear"/>
    <x v="0"/>
    <x v="0"/>
    <x v="3"/>
    <n v="5"/>
  </r>
  <r>
    <s v="AID0050"/>
    <x v="33"/>
    <x v="3"/>
    <s v="Pedestrian Hit"/>
    <s v="Truck"/>
    <s v="Foggy"/>
    <x v="1"/>
    <x v="2"/>
    <x v="5"/>
    <n v="2"/>
  </r>
  <r>
    <s v="AID0051"/>
    <x v="44"/>
    <x v="5"/>
    <s v="Collision"/>
    <s v="Bicycle"/>
    <s v="Windy"/>
    <x v="0"/>
    <x v="0"/>
    <x v="4"/>
    <n v="0"/>
  </r>
  <r>
    <s v="AID0052"/>
    <x v="29"/>
    <x v="4"/>
    <s v="Animal Hit"/>
    <s v="Truck"/>
    <s v="Foggy"/>
    <x v="1"/>
    <x v="3"/>
    <x v="3"/>
    <n v="2"/>
  </r>
  <r>
    <s v="AID0053"/>
    <x v="45"/>
    <x v="7"/>
    <s v="Pedestrian Hit"/>
    <s v="Car"/>
    <s v="Windy"/>
    <x v="2"/>
    <x v="0"/>
    <x v="4"/>
    <n v="3"/>
  </r>
  <r>
    <s v="AID0054"/>
    <x v="46"/>
    <x v="0"/>
    <s v="Animal Hit"/>
    <s v="Truck"/>
    <s v="Windy"/>
    <x v="0"/>
    <x v="3"/>
    <x v="4"/>
    <n v="5"/>
  </r>
  <r>
    <s v="AID0055"/>
    <x v="47"/>
    <x v="0"/>
    <s v="Overturn"/>
    <s v="Auto-Rickshaw"/>
    <s v="Clear"/>
    <x v="1"/>
    <x v="0"/>
    <x v="2"/>
    <n v="4"/>
  </r>
  <r>
    <s v="AID0056"/>
    <x v="48"/>
    <x v="3"/>
    <s v="Overturn"/>
    <s v="Bus"/>
    <s v="Foggy"/>
    <x v="2"/>
    <x v="0"/>
    <x v="4"/>
    <n v="3"/>
  </r>
  <r>
    <s v="AID0057"/>
    <x v="47"/>
    <x v="3"/>
    <s v="Overturn"/>
    <s v="Bus"/>
    <s v="Windy"/>
    <x v="2"/>
    <x v="2"/>
    <x v="5"/>
    <n v="5"/>
  </r>
  <r>
    <s v="AID0058"/>
    <x v="49"/>
    <x v="0"/>
    <s v="Collision"/>
    <s v="Auto-Rickshaw"/>
    <s v="Foggy"/>
    <x v="3"/>
    <x v="2"/>
    <x v="2"/>
    <n v="2"/>
  </r>
  <r>
    <s v="AID0059"/>
    <x v="18"/>
    <x v="1"/>
    <s v="Collision"/>
    <s v="Car"/>
    <s v="Foggy"/>
    <x v="2"/>
    <x v="1"/>
    <x v="5"/>
    <n v="4"/>
  </r>
  <r>
    <s v="AID0060"/>
    <x v="50"/>
    <x v="2"/>
    <s v="Overturn"/>
    <s v="Car"/>
    <s v="Rainy"/>
    <x v="0"/>
    <x v="1"/>
    <x v="4"/>
    <n v="2"/>
  </r>
  <r>
    <s v="AID0061"/>
    <x v="51"/>
    <x v="0"/>
    <s v="Animal Hit"/>
    <s v="Bicycle"/>
    <s v="Foggy"/>
    <x v="2"/>
    <x v="1"/>
    <x v="2"/>
    <n v="5"/>
  </r>
  <r>
    <s v="AID0062"/>
    <x v="52"/>
    <x v="1"/>
    <s v="Collision"/>
    <s v="Motorcycle"/>
    <s v="Foggy"/>
    <x v="1"/>
    <x v="2"/>
    <x v="5"/>
    <n v="5"/>
  </r>
  <r>
    <s v="AID0063"/>
    <x v="53"/>
    <x v="6"/>
    <s v="Animal Hit"/>
    <s v="Auto-Rickshaw"/>
    <s v="Clear"/>
    <x v="2"/>
    <x v="3"/>
    <x v="2"/>
    <n v="1"/>
  </r>
  <r>
    <s v="AID0064"/>
    <x v="37"/>
    <x v="7"/>
    <s v="Overturn"/>
    <s v="Bus"/>
    <s v="Rainy"/>
    <x v="2"/>
    <x v="3"/>
    <x v="5"/>
    <n v="4"/>
  </r>
  <r>
    <s v="AID0065"/>
    <x v="54"/>
    <x v="2"/>
    <s v="Pedestrian Hit"/>
    <s v="Auto-Rickshaw"/>
    <s v="Windy"/>
    <x v="0"/>
    <x v="2"/>
    <x v="1"/>
    <n v="1"/>
  </r>
  <r>
    <s v="AID0066"/>
    <x v="49"/>
    <x v="5"/>
    <s v="Overturn"/>
    <s v="Motorcycle"/>
    <s v="Windy"/>
    <x v="3"/>
    <x v="2"/>
    <x v="0"/>
    <n v="2"/>
  </r>
  <r>
    <s v="AID0067"/>
    <x v="55"/>
    <x v="3"/>
    <s v="Collision"/>
    <s v="Bicycle"/>
    <s v="Clear"/>
    <x v="3"/>
    <x v="1"/>
    <x v="5"/>
    <n v="1"/>
  </r>
  <r>
    <s v="AID0068"/>
    <x v="41"/>
    <x v="3"/>
    <s v="Overturn"/>
    <s v="Bicycle"/>
    <s v="Windy"/>
    <x v="1"/>
    <x v="0"/>
    <x v="4"/>
    <n v="3"/>
  </r>
  <r>
    <s v="AID0069"/>
    <x v="35"/>
    <x v="1"/>
    <s v="Animal Hit"/>
    <s v="Motorcycle"/>
    <s v="Rainy"/>
    <x v="2"/>
    <x v="0"/>
    <x v="0"/>
    <n v="0"/>
  </r>
  <r>
    <s v="AID0070"/>
    <x v="56"/>
    <x v="7"/>
    <s v="Animal Hit"/>
    <s v="Bicycle"/>
    <s v="Foggy"/>
    <x v="1"/>
    <x v="2"/>
    <x v="5"/>
    <n v="4"/>
  </r>
  <r>
    <s v="AID0071"/>
    <x v="57"/>
    <x v="6"/>
    <s v="Object Hit"/>
    <s v="Car"/>
    <s v="Clear"/>
    <x v="0"/>
    <x v="2"/>
    <x v="0"/>
    <n v="2"/>
  </r>
  <r>
    <s v="AID0072"/>
    <x v="58"/>
    <x v="1"/>
    <s v="Animal Hit"/>
    <s v="Bus"/>
    <s v="Rainy"/>
    <x v="0"/>
    <x v="3"/>
    <x v="4"/>
    <n v="4"/>
  </r>
  <r>
    <s v="AID0073"/>
    <x v="59"/>
    <x v="3"/>
    <s v="Animal Hit"/>
    <s v="Motorcycle"/>
    <s v="Windy"/>
    <x v="0"/>
    <x v="2"/>
    <x v="3"/>
    <n v="1"/>
  </r>
  <r>
    <s v="AID0074"/>
    <x v="60"/>
    <x v="3"/>
    <s v="Animal Hit"/>
    <s v="Car"/>
    <s v="Clear"/>
    <x v="3"/>
    <x v="1"/>
    <x v="4"/>
    <n v="3"/>
  </r>
  <r>
    <s v="AID0075"/>
    <x v="5"/>
    <x v="7"/>
    <s v="Pedestrian Hit"/>
    <s v="Bus"/>
    <s v="Rainy"/>
    <x v="1"/>
    <x v="0"/>
    <x v="1"/>
    <n v="4"/>
  </r>
  <r>
    <s v="AID0076"/>
    <x v="61"/>
    <x v="3"/>
    <s v="Object Hit"/>
    <s v="Truck"/>
    <s v="Rainy"/>
    <x v="0"/>
    <x v="1"/>
    <x v="3"/>
    <n v="4"/>
  </r>
  <r>
    <s v="AID0077"/>
    <x v="62"/>
    <x v="6"/>
    <s v="Object Hit"/>
    <s v="Truck"/>
    <s v="Clear"/>
    <x v="2"/>
    <x v="2"/>
    <x v="2"/>
    <n v="2"/>
  </r>
  <r>
    <s v="AID0078"/>
    <x v="63"/>
    <x v="6"/>
    <s v="Pedestrian Hit"/>
    <s v="Car"/>
    <s v="Clear"/>
    <x v="1"/>
    <x v="1"/>
    <x v="0"/>
    <n v="0"/>
  </r>
  <r>
    <s v="AID0079"/>
    <x v="64"/>
    <x v="1"/>
    <s v="Collision"/>
    <s v="Bus"/>
    <s v="Clear"/>
    <x v="3"/>
    <x v="2"/>
    <x v="0"/>
    <n v="5"/>
  </r>
  <r>
    <s v="AID0080"/>
    <x v="65"/>
    <x v="5"/>
    <s v="Overturn"/>
    <s v="Auto-Rickshaw"/>
    <s v="Rainy"/>
    <x v="0"/>
    <x v="2"/>
    <x v="1"/>
    <n v="4"/>
  </r>
  <r>
    <s v="AID0081"/>
    <x v="66"/>
    <x v="4"/>
    <s v="Collision"/>
    <s v="Car"/>
    <s v="Clear"/>
    <x v="0"/>
    <x v="3"/>
    <x v="1"/>
    <n v="0"/>
  </r>
  <r>
    <s v="AID0082"/>
    <x v="67"/>
    <x v="5"/>
    <s v="Collision"/>
    <s v="Bus"/>
    <s v="Windy"/>
    <x v="3"/>
    <x v="1"/>
    <x v="0"/>
    <n v="3"/>
  </r>
  <r>
    <s v="AID0083"/>
    <x v="68"/>
    <x v="1"/>
    <s v="Object Hit"/>
    <s v="Motorcycle"/>
    <s v="Windy"/>
    <x v="1"/>
    <x v="0"/>
    <x v="3"/>
    <n v="4"/>
  </r>
  <r>
    <s v="AID0084"/>
    <x v="69"/>
    <x v="2"/>
    <s v="Overturn"/>
    <s v="Motorcycle"/>
    <s v="Rainy"/>
    <x v="2"/>
    <x v="3"/>
    <x v="2"/>
    <n v="2"/>
  </r>
  <r>
    <s v="AID0085"/>
    <x v="70"/>
    <x v="4"/>
    <s v="Animal Hit"/>
    <s v="Truck"/>
    <s v="Foggy"/>
    <x v="3"/>
    <x v="3"/>
    <x v="5"/>
    <n v="3"/>
  </r>
  <r>
    <s v="AID0086"/>
    <x v="56"/>
    <x v="7"/>
    <s v="Animal Hit"/>
    <s v="Car"/>
    <s v="Clear"/>
    <x v="0"/>
    <x v="3"/>
    <x v="4"/>
    <n v="2"/>
  </r>
  <r>
    <s v="AID0087"/>
    <x v="71"/>
    <x v="5"/>
    <s v="Animal Hit"/>
    <s v="Motorcycle"/>
    <s v="Windy"/>
    <x v="3"/>
    <x v="0"/>
    <x v="2"/>
    <n v="1"/>
  </r>
  <r>
    <s v="AID0088"/>
    <x v="72"/>
    <x v="0"/>
    <s v="Object Hit"/>
    <s v="Bicycle"/>
    <s v="Windy"/>
    <x v="0"/>
    <x v="0"/>
    <x v="3"/>
    <n v="2"/>
  </r>
  <r>
    <s v="AID0089"/>
    <x v="3"/>
    <x v="6"/>
    <s v="Object Hit"/>
    <s v="Auto-Rickshaw"/>
    <s v="Foggy"/>
    <x v="0"/>
    <x v="2"/>
    <x v="5"/>
    <n v="0"/>
  </r>
  <r>
    <s v="AID0090"/>
    <x v="73"/>
    <x v="1"/>
    <s v="Collision"/>
    <s v="Car"/>
    <s v="Clear"/>
    <x v="0"/>
    <x v="3"/>
    <x v="0"/>
    <n v="1"/>
  </r>
  <r>
    <s v="AID0091"/>
    <x v="74"/>
    <x v="7"/>
    <s v="Pedestrian Hit"/>
    <s v="Auto-Rickshaw"/>
    <s v="Foggy"/>
    <x v="2"/>
    <x v="1"/>
    <x v="5"/>
    <n v="4"/>
  </r>
  <r>
    <s v="AID0092"/>
    <x v="7"/>
    <x v="0"/>
    <s v="Collision"/>
    <s v="Bus"/>
    <s v="Clear"/>
    <x v="1"/>
    <x v="1"/>
    <x v="1"/>
    <n v="1"/>
  </r>
  <r>
    <s v="AID0093"/>
    <x v="75"/>
    <x v="2"/>
    <s v="Pedestrian Hit"/>
    <s v="Motorcycle"/>
    <s v="Foggy"/>
    <x v="3"/>
    <x v="3"/>
    <x v="1"/>
    <n v="5"/>
  </r>
  <r>
    <s v="AID0094"/>
    <x v="76"/>
    <x v="7"/>
    <s v="Animal Hit"/>
    <s v="Bicycle"/>
    <s v="Clear"/>
    <x v="1"/>
    <x v="1"/>
    <x v="1"/>
    <n v="0"/>
  </r>
  <r>
    <s v="AID0095"/>
    <x v="77"/>
    <x v="1"/>
    <s v="Collision"/>
    <s v="Bicycle"/>
    <s v="Clear"/>
    <x v="1"/>
    <x v="2"/>
    <x v="4"/>
    <n v="3"/>
  </r>
  <r>
    <s v="AID0096"/>
    <x v="78"/>
    <x v="3"/>
    <s v="Animal Hit"/>
    <s v="Car"/>
    <s v="Clear"/>
    <x v="2"/>
    <x v="2"/>
    <x v="4"/>
    <n v="5"/>
  </r>
  <r>
    <s v="AID0097"/>
    <x v="31"/>
    <x v="4"/>
    <s v="Object Hit"/>
    <s v="Truck"/>
    <s v="Windy"/>
    <x v="1"/>
    <x v="1"/>
    <x v="4"/>
    <n v="3"/>
  </r>
  <r>
    <s v="AID0098"/>
    <x v="79"/>
    <x v="4"/>
    <s v="Pedestrian Hit"/>
    <s v="Motorcycle"/>
    <s v="Windy"/>
    <x v="3"/>
    <x v="3"/>
    <x v="5"/>
    <n v="0"/>
  </r>
  <r>
    <s v="AID0099"/>
    <x v="80"/>
    <x v="7"/>
    <s v="Overturn"/>
    <s v="Auto-Rickshaw"/>
    <s v="Clear"/>
    <x v="3"/>
    <x v="2"/>
    <x v="4"/>
    <n v="4"/>
  </r>
  <r>
    <s v="AID0100"/>
    <x v="18"/>
    <x v="5"/>
    <s v="Pedestrian Hit"/>
    <s v="Motorcycle"/>
    <s v="Windy"/>
    <x v="1"/>
    <x v="3"/>
    <x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7:M16" firstHeaderRow="1" firstDataRow="1" firstDataCol="1"/>
  <pivotFields count="11">
    <pivotField dataField="1"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9">
        <item x="5"/>
        <item x="3"/>
        <item x="6"/>
        <item x="4"/>
        <item x="0"/>
        <item x="7"/>
        <item x="1"/>
        <item x="2"/>
        <item t="default"/>
      </items>
    </pivotField>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2"/>
  </rowFields>
  <rowItems count="9">
    <i>
      <x/>
    </i>
    <i>
      <x v="1"/>
    </i>
    <i>
      <x v="2"/>
    </i>
    <i>
      <x v="3"/>
    </i>
    <i>
      <x v="4"/>
    </i>
    <i>
      <x v="5"/>
    </i>
    <i>
      <x v="6"/>
    </i>
    <i>
      <x v="7"/>
    </i>
    <i t="grand">
      <x/>
    </i>
  </rowItems>
  <colItems count="1">
    <i/>
  </colItems>
  <dataFields count="1">
    <dataField name="Count of Accid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41:M48" firstHeaderRow="1" firstDataRow="1" firstDataCol="1"/>
  <pivotFields count="11">
    <pivotField dataField="1"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10"/>
    <field x="1"/>
  </rowFields>
  <rowItems count="7">
    <i>
      <x v="1"/>
    </i>
    <i>
      <x v="2"/>
    </i>
    <i>
      <x v="3"/>
    </i>
    <i>
      <x v="4"/>
    </i>
    <i>
      <x v="5"/>
    </i>
    <i>
      <x v="6"/>
    </i>
    <i t="grand">
      <x/>
    </i>
  </rowItems>
  <colItems count="1">
    <i/>
  </colItems>
  <dataFields count="1">
    <dataField name="Count of Accid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32:M39" firstHeaderRow="1" firstDataRow="1" firstDataCol="1"/>
  <pivotFields count="11">
    <pivotField dataField="1"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axis="axisRow" showAll="0">
      <items count="7">
        <item x="2"/>
        <item x="1"/>
        <item x="4"/>
        <item x="0"/>
        <item x="5"/>
        <item x="3"/>
        <item t="default"/>
      </items>
    </pivotField>
    <pivotField showAll="0"/>
    <pivotField showAll="0" defaultSubtotal="0">
      <items count="14">
        <item x="0"/>
        <item x="1"/>
        <item x="2"/>
        <item x="3"/>
        <item x="4"/>
        <item x="5"/>
        <item x="6"/>
        <item x="7"/>
        <item x="8"/>
        <item x="9"/>
        <item x="10"/>
        <item x="11"/>
        <item x="12"/>
        <item x="13"/>
      </items>
    </pivotField>
  </pivotFields>
  <rowFields count="1">
    <field x="8"/>
  </rowFields>
  <rowItems count="7">
    <i>
      <x/>
    </i>
    <i>
      <x v="1"/>
    </i>
    <i>
      <x v="2"/>
    </i>
    <i>
      <x v="3"/>
    </i>
    <i>
      <x v="4"/>
    </i>
    <i>
      <x v="5"/>
    </i>
    <i t="grand">
      <x/>
    </i>
  </rowItems>
  <colItems count="1">
    <i/>
  </colItems>
  <dataFields count="1">
    <dataField name="Count of Accid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25:M30" firstHeaderRow="1" firstDataRow="1" firstDataCol="1"/>
  <pivotFields count="11">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axis="axisRow" showAll="0">
      <items count="5">
        <item x="1"/>
        <item x="2"/>
        <item x="0"/>
        <item x="3"/>
        <item t="default"/>
      </items>
    </pivotField>
    <pivotField showAll="0"/>
    <pivotField dataField="1" showAll="0"/>
    <pivotField showAll="0" defaultSubtotal="0">
      <items count="14">
        <item x="0"/>
        <item x="1"/>
        <item x="2"/>
        <item x="3"/>
        <item x="4"/>
        <item x="5"/>
        <item x="6"/>
        <item x="7"/>
        <item x="8"/>
        <item x="9"/>
        <item x="10"/>
        <item x="11"/>
        <item x="12"/>
        <item x="13"/>
      </items>
    </pivotField>
  </pivotFields>
  <rowFields count="1">
    <field x="7"/>
  </rowFields>
  <rowItems count="5">
    <i>
      <x/>
    </i>
    <i>
      <x v="1"/>
    </i>
    <i>
      <x v="2"/>
    </i>
    <i>
      <x v="3"/>
    </i>
    <i t="grand">
      <x/>
    </i>
  </rowItems>
  <colItems count="1">
    <i/>
  </colItems>
  <dataFields count="1">
    <dataField name="Sum of Casualti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18:M23" firstHeaderRow="1" firstDataRow="1" firstDataCol="1"/>
  <pivotFields count="11">
    <pivotField dataField="1"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axis="axisRow" showAll="0">
      <items count="5">
        <item x="1"/>
        <item x="0"/>
        <item x="2"/>
        <item x="3"/>
        <item t="default"/>
      </items>
    </pivotField>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6"/>
  </rowFields>
  <rowItems count="5">
    <i>
      <x/>
    </i>
    <i>
      <x v="1"/>
    </i>
    <i>
      <x v="2"/>
    </i>
    <i>
      <x v="3"/>
    </i>
    <i t="grand">
      <x/>
    </i>
  </rowItems>
  <colItems count="1">
    <i/>
  </colItems>
  <dataFields count="1">
    <dataField name="Count of Accid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te" sourceName="Date">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Location" sourceName="Location">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Vehicle_Type" sourceName="Vehicle Type">
  <extLst>
    <x:ext xmlns:x15="http://schemas.microsoft.com/office/spreadsheetml/2010/11/main" uri="{2F2917AC-EB37-4324-AD4E-5DD8C200BD13}">
      <x15:tableSlicerCache tableId="1" column="5"/>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oad_Condition" sourceName="Road Condition">
  <extLst>
    <x:ext xmlns:x15="http://schemas.microsoft.com/office/spreadsheetml/2010/11/main" uri="{2F2917AC-EB37-4324-AD4E-5DD8C200BD13}">
      <x15:tableSlicerCache tableId="1" column="7"/>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everity" sourceName="Severity">
  <extLst>
    <x:ext xmlns:x15="http://schemas.microsoft.com/office/spreadsheetml/2010/11/main" uri="{2F2917AC-EB37-4324-AD4E-5DD8C200BD13}">
      <x15:tableSlicerCache tableId="1"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te" cache="Slicer_Date" caption="Date" rowHeight="225425"/>
  <slicer name="Location" cache="Slicer_Location" caption="Location" rowHeight="225425"/>
  <slicer name="Vehicle Type" cache="Slicer_Vehicle_Type" caption="Vehicle Type" rowHeight="225425"/>
  <slicer name="Road Condition" cache="Slicer_Road_Condition" caption="Road Condition" rowHeight="225425"/>
  <slicer name="Severity" cache="Slicer_Severity" caption="Severity" rowHeight="225425"/>
</slicers>
</file>

<file path=xl/tables/table1.xml><?xml version="1.0" encoding="utf-8"?>
<table xmlns="http://schemas.openxmlformats.org/spreadsheetml/2006/main" id="1" name="Table1" displayName="Table1" ref="A16:J116" totalsRowShown="0" headerRowDxfId="11" dataDxfId="10">
  <autoFilter ref="A16:J116"/>
  <tableColumns count="10">
    <tableColumn id="1" name="Accident ID" dataDxfId="9"/>
    <tableColumn id="2" name="Date" dataDxfId="8"/>
    <tableColumn id="3" name="Location" dataDxfId="7"/>
    <tableColumn id="4" name="Accident Type" dataDxfId="6"/>
    <tableColumn id="5" name="Vehicle Type" dataDxfId="5"/>
    <tableColumn id="6" name="Weather Condition" dataDxfId="4"/>
    <tableColumn id="7" name="Road Condition" dataDxfId="3"/>
    <tableColumn id="8" name="Severity" dataDxfId="2"/>
    <tableColumn id="9" name="Cause" dataDxfId="1"/>
    <tableColumn id="10" name="Casualties"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outlinePr summaryBelow="0" summaryRight="0"/>
  </sheetPr>
  <dimension ref="A3:M116"/>
  <sheetViews>
    <sheetView workbookViewId="0">
      <selection activeCell="A5" sqref="A5:H5"/>
    </sheetView>
  </sheetViews>
  <sheetFormatPr defaultColWidth="12.5703125" defaultRowHeight="15.75" customHeight="1" x14ac:dyDescent="0.2"/>
  <cols>
    <col min="1" max="10" width="21.7109375" customWidth="1"/>
    <col min="12" max="12" width="13.85546875" customWidth="1"/>
    <col min="13" max="13" width="19.7109375" customWidth="1"/>
  </cols>
  <sheetData>
    <row r="3" spans="1:13" ht="15" hidden="1" customHeight="1" x14ac:dyDescent="0.2"/>
    <row r="4" spans="1:13" ht="15.75" hidden="1" customHeight="1" x14ac:dyDescent="0.2"/>
    <row r="5" spans="1:13" ht="54.75" customHeight="1" x14ac:dyDescent="0.2">
      <c r="A5" s="9" t="s">
        <v>157</v>
      </c>
      <c r="B5" s="8"/>
      <c r="C5" s="8"/>
      <c r="D5" s="8"/>
      <c r="E5" s="8"/>
      <c r="F5" s="8"/>
      <c r="G5" s="8"/>
      <c r="H5" s="8"/>
    </row>
    <row r="6" spans="1:13" ht="18" customHeight="1" x14ac:dyDescent="0.2"/>
    <row r="7" spans="1:13" ht="15.75" customHeight="1" x14ac:dyDescent="0.2">
      <c r="L7" s="4" t="s">
        <v>147</v>
      </c>
      <c r="M7" t="s">
        <v>149</v>
      </c>
    </row>
    <row r="8" spans="1:13" ht="15.75" customHeight="1" x14ac:dyDescent="0.2">
      <c r="L8" s="5" t="s">
        <v>49</v>
      </c>
      <c r="M8" s="6">
        <v>9</v>
      </c>
    </row>
    <row r="9" spans="1:13" ht="15.75" customHeight="1" x14ac:dyDescent="0.2">
      <c r="L9" s="5" t="s">
        <v>34</v>
      </c>
      <c r="M9" s="6">
        <v>14</v>
      </c>
    </row>
    <row r="10" spans="1:13" ht="15.75" customHeight="1" x14ac:dyDescent="0.2">
      <c r="L10" s="5" t="s">
        <v>58</v>
      </c>
      <c r="M10" s="6">
        <v>12</v>
      </c>
    </row>
    <row r="11" spans="1:13" ht="15.75" customHeight="1" x14ac:dyDescent="0.2">
      <c r="L11" s="5" t="s">
        <v>43</v>
      </c>
      <c r="M11" s="6">
        <v>9</v>
      </c>
    </row>
    <row r="12" spans="1:13" ht="15.75" customHeight="1" x14ac:dyDescent="0.2">
      <c r="L12" s="5" t="s">
        <v>11</v>
      </c>
      <c r="M12" s="6">
        <v>17</v>
      </c>
    </row>
    <row r="13" spans="1:13" ht="15.75" customHeight="1" x14ac:dyDescent="0.2">
      <c r="L13" s="5" t="s">
        <v>64</v>
      </c>
      <c r="M13" s="6">
        <v>13</v>
      </c>
    </row>
    <row r="14" spans="1:13" ht="15.75" customHeight="1" x14ac:dyDescent="0.2">
      <c r="L14" s="5" t="s">
        <v>19</v>
      </c>
      <c r="M14" s="6">
        <v>15</v>
      </c>
    </row>
    <row r="15" spans="1:13" ht="15.75" customHeight="1" x14ac:dyDescent="0.2">
      <c r="L15" s="5" t="s">
        <v>29</v>
      </c>
      <c r="M15" s="6">
        <v>11</v>
      </c>
    </row>
    <row r="16" spans="1:13" ht="12.75" x14ac:dyDescent="0.2">
      <c r="A16" s="1" t="s">
        <v>0</v>
      </c>
      <c r="B16" s="1" t="s">
        <v>1</v>
      </c>
      <c r="C16" s="1" t="s">
        <v>2</v>
      </c>
      <c r="D16" s="1" t="s">
        <v>3</v>
      </c>
      <c r="E16" s="1" t="s">
        <v>4</v>
      </c>
      <c r="F16" s="1" t="s">
        <v>5</v>
      </c>
      <c r="G16" s="1" t="s">
        <v>6</v>
      </c>
      <c r="H16" s="1" t="s">
        <v>7</v>
      </c>
      <c r="I16" s="1" t="s">
        <v>8</v>
      </c>
      <c r="J16" s="1" t="s">
        <v>9</v>
      </c>
      <c r="L16" s="5" t="s">
        <v>148</v>
      </c>
      <c r="M16" s="6">
        <v>100</v>
      </c>
    </row>
    <row r="17" spans="1:13" ht="13.5" customHeight="1" x14ac:dyDescent="0.2">
      <c r="A17" s="2" t="s">
        <v>10</v>
      </c>
      <c r="B17" s="3">
        <v>45292</v>
      </c>
      <c r="C17" s="2" t="s">
        <v>11</v>
      </c>
      <c r="D17" s="2" t="s">
        <v>12</v>
      </c>
      <c r="E17" s="2" t="s">
        <v>13</v>
      </c>
      <c r="F17" s="2" t="s">
        <v>14</v>
      </c>
      <c r="G17" s="2" t="s">
        <v>15</v>
      </c>
      <c r="H17" s="2" t="s">
        <v>16</v>
      </c>
      <c r="I17" s="2" t="s">
        <v>17</v>
      </c>
      <c r="J17" s="2">
        <v>0</v>
      </c>
    </row>
    <row r="18" spans="1:13" ht="12.75" x14ac:dyDescent="0.2">
      <c r="A18" s="2" t="s">
        <v>18</v>
      </c>
      <c r="B18" s="3">
        <v>45380</v>
      </c>
      <c r="C18" s="2" t="s">
        <v>19</v>
      </c>
      <c r="D18" s="2" t="s">
        <v>12</v>
      </c>
      <c r="E18" s="2" t="s">
        <v>13</v>
      </c>
      <c r="F18" s="2" t="s">
        <v>20</v>
      </c>
      <c r="G18" s="2" t="s">
        <v>21</v>
      </c>
      <c r="H18" s="2" t="s">
        <v>16</v>
      </c>
      <c r="I18" s="2" t="s">
        <v>22</v>
      </c>
      <c r="J18" s="2">
        <v>0</v>
      </c>
      <c r="L18" s="4" t="s">
        <v>147</v>
      </c>
      <c r="M18" t="s">
        <v>149</v>
      </c>
    </row>
    <row r="19" spans="1:13" ht="15" customHeight="1" x14ac:dyDescent="0.2">
      <c r="A19" s="2" t="s">
        <v>23</v>
      </c>
      <c r="B19" s="3">
        <v>45296</v>
      </c>
      <c r="C19" s="2" t="s">
        <v>19</v>
      </c>
      <c r="D19" s="2" t="s">
        <v>12</v>
      </c>
      <c r="E19" s="2" t="s">
        <v>24</v>
      </c>
      <c r="F19" s="2" t="s">
        <v>25</v>
      </c>
      <c r="G19" s="2" t="s">
        <v>26</v>
      </c>
      <c r="H19" s="2" t="s">
        <v>27</v>
      </c>
      <c r="I19" s="2" t="s">
        <v>17</v>
      </c>
      <c r="J19" s="2">
        <v>3</v>
      </c>
      <c r="L19" s="5" t="s">
        <v>21</v>
      </c>
      <c r="M19" s="6">
        <v>27</v>
      </c>
    </row>
    <row r="20" spans="1:13" ht="12.75" x14ac:dyDescent="0.2">
      <c r="A20" s="2" t="s">
        <v>28</v>
      </c>
      <c r="B20" s="3">
        <v>45445</v>
      </c>
      <c r="C20" s="2" t="s">
        <v>29</v>
      </c>
      <c r="D20" s="2" t="s">
        <v>30</v>
      </c>
      <c r="E20" s="2" t="s">
        <v>31</v>
      </c>
      <c r="F20" s="2" t="s">
        <v>14</v>
      </c>
      <c r="G20" s="2" t="s">
        <v>15</v>
      </c>
      <c r="H20" s="2" t="s">
        <v>27</v>
      </c>
      <c r="I20" s="2" t="s">
        <v>32</v>
      </c>
      <c r="J20" s="2">
        <v>4</v>
      </c>
      <c r="L20" s="5" t="s">
        <v>15</v>
      </c>
      <c r="M20" s="6">
        <v>23</v>
      </c>
    </row>
    <row r="21" spans="1:13" ht="12.75" x14ac:dyDescent="0.2">
      <c r="A21" s="2" t="s">
        <v>33</v>
      </c>
      <c r="B21" s="3">
        <v>45350</v>
      </c>
      <c r="C21" s="2" t="s">
        <v>34</v>
      </c>
      <c r="D21" s="2" t="s">
        <v>35</v>
      </c>
      <c r="E21" s="2" t="s">
        <v>13</v>
      </c>
      <c r="F21" s="2" t="s">
        <v>14</v>
      </c>
      <c r="G21" s="2" t="s">
        <v>21</v>
      </c>
      <c r="H21" s="2" t="s">
        <v>16</v>
      </c>
      <c r="I21" s="2" t="s">
        <v>36</v>
      </c>
      <c r="J21" s="2">
        <v>0</v>
      </c>
      <c r="L21" s="5" t="s">
        <v>26</v>
      </c>
      <c r="M21" s="6">
        <v>28</v>
      </c>
    </row>
    <row r="22" spans="1:13" ht="12.75" x14ac:dyDescent="0.2">
      <c r="A22" s="2" t="s">
        <v>37</v>
      </c>
      <c r="B22" s="3">
        <v>45399</v>
      </c>
      <c r="C22" s="2" t="s">
        <v>34</v>
      </c>
      <c r="D22" s="2" t="s">
        <v>35</v>
      </c>
      <c r="E22" s="2" t="s">
        <v>38</v>
      </c>
      <c r="F22" s="2" t="s">
        <v>39</v>
      </c>
      <c r="G22" s="2" t="s">
        <v>21</v>
      </c>
      <c r="H22" s="2" t="s">
        <v>40</v>
      </c>
      <c r="I22" s="2" t="s">
        <v>41</v>
      </c>
      <c r="J22" s="2">
        <v>4</v>
      </c>
      <c r="L22" s="5" t="s">
        <v>46</v>
      </c>
      <c r="M22" s="6">
        <v>22</v>
      </c>
    </row>
    <row r="23" spans="1:13" ht="12.75" x14ac:dyDescent="0.2">
      <c r="A23" s="2" t="s">
        <v>42</v>
      </c>
      <c r="B23" s="3">
        <v>45338</v>
      </c>
      <c r="C23" s="2" t="s">
        <v>43</v>
      </c>
      <c r="D23" s="2" t="s">
        <v>35</v>
      </c>
      <c r="E23" s="2" t="s">
        <v>38</v>
      </c>
      <c r="F23" s="2" t="s">
        <v>39</v>
      </c>
      <c r="G23" s="2" t="s">
        <v>15</v>
      </c>
      <c r="H23" s="2" t="s">
        <v>40</v>
      </c>
      <c r="I23" s="2" t="s">
        <v>44</v>
      </c>
      <c r="J23" s="2">
        <v>2</v>
      </c>
      <c r="L23" s="5" t="s">
        <v>148</v>
      </c>
      <c r="M23" s="6">
        <v>100</v>
      </c>
    </row>
    <row r="24" spans="1:13" ht="12.75" x14ac:dyDescent="0.2">
      <c r="A24" s="2" t="s">
        <v>45</v>
      </c>
      <c r="B24" s="3">
        <v>45369</v>
      </c>
      <c r="C24" s="2" t="s">
        <v>11</v>
      </c>
      <c r="D24" s="2" t="s">
        <v>12</v>
      </c>
      <c r="E24" s="2" t="s">
        <v>38</v>
      </c>
      <c r="F24" s="2" t="s">
        <v>20</v>
      </c>
      <c r="G24" s="2" t="s">
        <v>46</v>
      </c>
      <c r="H24" s="2" t="s">
        <v>16</v>
      </c>
      <c r="I24" s="2" t="s">
        <v>44</v>
      </c>
      <c r="J24" s="2">
        <v>5</v>
      </c>
    </row>
    <row r="25" spans="1:13" ht="12.75" x14ac:dyDescent="0.2">
      <c r="A25" s="2" t="s">
        <v>47</v>
      </c>
      <c r="B25" s="3">
        <v>45425</v>
      </c>
      <c r="C25" s="2" t="s">
        <v>19</v>
      </c>
      <c r="D25" s="2" t="s">
        <v>30</v>
      </c>
      <c r="E25" s="2" t="s">
        <v>38</v>
      </c>
      <c r="F25" s="2" t="s">
        <v>25</v>
      </c>
      <c r="G25" s="2" t="s">
        <v>26</v>
      </c>
      <c r="H25" s="2" t="s">
        <v>40</v>
      </c>
      <c r="I25" s="2" t="s">
        <v>36</v>
      </c>
      <c r="J25" s="2">
        <v>2</v>
      </c>
      <c r="L25" s="4" t="s">
        <v>147</v>
      </c>
      <c r="M25" t="s">
        <v>150</v>
      </c>
    </row>
    <row r="26" spans="1:13" ht="12.75" x14ac:dyDescent="0.2">
      <c r="A26" s="2" t="s">
        <v>48</v>
      </c>
      <c r="B26" s="3">
        <v>45307</v>
      </c>
      <c r="C26" s="2" t="s">
        <v>49</v>
      </c>
      <c r="D26" s="2" t="s">
        <v>30</v>
      </c>
      <c r="E26" s="2" t="s">
        <v>50</v>
      </c>
      <c r="F26" s="2" t="s">
        <v>14</v>
      </c>
      <c r="G26" s="2" t="s">
        <v>26</v>
      </c>
      <c r="H26" s="2" t="s">
        <v>51</v>
      </c>
      <c r="I26" s="2" t="s">
        <v>44</v>
      </c>
      <c r="J26" s="2">
        <v>5</v>
      </c>
      <c r="L26" s="5" t="s">
        <v>27</v>
      </c>
      <c r="M26" s="6">
        <v>52</v>
      </c>
    </row>
    <row r="27" spans="1:13" ht="12.75" x14ac:dyDescent="0.2">
      <c r="A27" s="2" t="s">
        <v>52</v>
      </c>
      <c r="B27" s="3">
        <v>45299</v>
      </c>
      <c r="C27" s="2" t="s">
        <v>29</v>
      </c>
      <c r="D27" s="2" t="s">
        <v>53</v>
      </c>
      <c r="E27" s="2" t="s">
        <v>13</v>
      </c>
      <c r="F27" s="2" t="s">
        <v>14</v>
      </c>
      <c r="G27" s="2" t="s">
        <v>21</v>
      </c>
      <c r="H27" s="2" t="s">
        <v>27</v>
      </c>
      <c r="I27" s="2" t="s">
        <v>17</v>
      </c>
      <c r="J27" s="2">
        <v>0</v>
      </c>
      <c r="L27" s="5" t="s">
        <v>40</v>
      </c>
      <c r="M27" s="6">
        <v>74</v>
      </c>
    </row>
    <row r="28" spans="1:13" ht="12.75" x14ac:dyDescent="0.2">
      <c r="A28" s="2" t="s">
        <v>54</v>
      </c>
      <c r="B28" s="3">
        <v>45468</v>
      </c>
      <c r="C28" s="2" t="s">
        <v>49</v>
      </c>
      <c r="D28" s="2" t="s">
        <v>55</v>
      </c>
      <c r="E28" s="2" t="s">
        <v>38</v>
      </c>
      <c r="F28" s="2" t="s">
        <v>14</v>
      </c>
      <c r="G28" s="2" t="s">
        <v>26</v>
      </c>
      <c r="H28" s="2" t="s">
        <v>51</v>
      </c>
      <c r="I28" s="2" t="s">
        <v>17</v>
      </c>
      <c r="J28" s="2">
        <v>3</v>
      </c>
      <c r="L28" s="5" t="s">
        <v>16</v>
      </c>
      <c r="M28" s="6">
        <v>51</v>
      </c>
    </row>
    <row r="29" spans="1:13" ht="12.75" x14ac:dyDescent="0.2">
      <c r="A29" s="2" t="s">
        <v>56</v>
      </c>
      <c r="B29" s="3">
        <v>45380</v>
      </c>
      <c r="C29" s="2" t="s">
        <v>34</v>
      </c>
      <c r="D29" s="2" t="s">
        <v>55</v>
      </c>
      <c r="E29" s="2" t="s">
        <v>24</v>
      </c>
      <c r="F29" s="2" t="s">
        <v>39</v>
      </c>
      <c r="G29" s="2" t="s">
        <v>46</v>
      </c>
      <c r="H29" s="2" t="s">
        <v>51</v>
      </c>
      <c r="I29" s="2" t="s">
        <v>44</v>
      </c>
      <c r="J29" s="2">
        <v>1</v>
      </c>
      <c r="L29" s="5" t="s">
        <v>51</v>
      </c>
      <c r="M29" s="6">
        <v>75</v>
      </c>
    </row>
    <row r="30" spans="1:13" ht="12.75" x14ac:dyDescent="0.2">
      <c r="A30" s="2" t="s">
        <v>57</v>
      </c>
      <c r="B30" s="3">
        <v>45384</v>
      </c>
      <c r="C30" s="2" t="s">
        <v>58</v>
      </c>
      <c r="D30" s="2" t="s">
        <v>12</v>
      </c>
      <c r="E30" s="2" t="s">
        <v>59</v>
      </c>
      <c r="F30" s="2" t="s">
        <v>20</v>
      </c>
      <c r="G30" s="2" t="s">
        <v>15</v>
      </c>
      <c r="H30" s="2" t="s">
        <v>51</v>
      </c>
      <c r="I30" s="2" t="s">
        <v>41</v>
      </c>
      <c r="J30" s="2">
        <v>2</v>
      </c>
      <c r="L30" s="5" t="s">
        <v>148</v>
      </c>
      <c r="M30" s="6">
        <v>252</v>
      </c>
    </row>
    <row r="31" spans="1:13" ht="12.75" x14ac:dyDescent="0.2">
      <c r="A31" s="2" t="s">
        <v>60</v>
      </c>
      <c r="B31" s="3">
        <v>45378</v>
      </c>
      <c r="C31" s="2" t="s">
        <v>58</v>
      </c>
      <c r="D31" s="2" t="s">
        <v>55</v>
      </c>
      <c r="E31" s="2" t="s">
        <v>50</v>
      </c>
      <c r="F31" s="2" t="s">
        <v>20</v>
      </c>
      <c r="G31" s="2" t="s">
        <v>26</v>
      </c>
      <c r="H31" s="2" t="s">
        <v>16</v>
      </c>
      <c r="I31" s="2" t="s">
        <v>32</v>
      </c>
      <c r="J31" s="2">
        <v>1</v>
      </c>
    </row>
    <row r="32" spans="1:13" ht="12.75" x14ac:dyDescent="0.2">
      <c r="A32" s="2" t="s">
        <v>61</v>
      </c>
      <c r="B32" s="3">
        <v>45431</v>
      </c>
      <c r="C32" s="2" t="s">
        <v>58</v>
      </c>
      <c r="D32" s="2" t="s">
        <v>12</v>
      </c>
      <c r="E32" s="2" t="s">
        <v>31</v>
      </c>
      <c r="F32" s="2" t="s">
        <v>20</v>
      </c>
      <c r="G32" s="2" t="s">
        <v>21</v>
      </c>
      <c r="H32" s="2" t="s">
        <v>51</v>
      </c>
      <c r="I32" s="2" t="s">
        <v>22</v>
      </c>
      <c r="J32" s="2">
        <v>5</v>
      </c>
      <c r="L32" s="4" t="s">
        <v>147</v>
      </c>
      <c r="M32" t="s">
        <v>149</v>
      </c>
    </row>
    <row r="33" spans="1:13" ht="12.75" x14ac:dyDescent="0.2">
      <c r="A33" s="2" t="s">
        <v>62</v>
      </c>
      <c r="B33" s="3">
        <v>45354</v>
      </c>
      <c r="C33" s="2" t="s">
        <v>11</v>
      </c>
      <c r="D33" s="2" t="s">
        <v>30</v>
      </c>
      <c r="E33" s="2" t="s">
        <v>50</v>
      </c>
      <c r="F33" s="2" t="s">
        <v>25</v>
      </c>
      <c r="G33" s="2" t="s">
        <v>26</v>
      </c>
      <c r="H33" s="2" t="s">
        <v>16</v>
      </c>
      <c r="I33" s="2" t="s">
        <v>22</v>
      </c>
      <c r="J33" s="2">
        <v>4</v>
      </c>
      <c r="L33" s="5" t="s">
        <v>32</v>
      </c>
      <c r="M33" s="6">
        <v>15</v>
      </c>
    </row>
    <row r="34" spans="1:13" ht="12.75" x14ac:dyDescent="0.2">
      <c r="A34" s="2" t="s">
        <v>63</v>
      </c>
      <c r="B34" s="3">
        <v>45359</v>
      </c>
      <c r="C34" s="2" t="s">
        <v>64</v>
      </c>
      <c r="D34" s="2" t="s">
        <v>12</v>
      </c>
      <c r="E34" s="2" t="s">
        <v>38</v>
      </c>
      <c r="F34" s="2" t="s">
        <v>25</v>
      </c>
      <c r="G34" s="2" t="s">
        <v>26</v>
      </c>
      <c r="H34" s="2" t="s">
        <v>16</v>
      </c>
      <c r="I34" s="2" t="s">
        <v>32</v>
      </c>
      <c r="J34" s="2">
        <v>3</v>
      </c>
      <c r="L34" s="5" t="s">
        <v>22</v>
      </c>
      <c r="M34" s="6">
        <v>14</v>
      </c>
    </row>
    <row r="35" spans="1:13" ht="12.75" x14ac:dyDescent="0.2">
      <c r="A35" s="2" t="s">
        <v>65</v>
      </c>
      <c r="B35" s="3">
        <v>45469</v>
      </c>
      <c r="C35" s="2" t="s">
        <v>43</v>
      </c>
      <c r="D35" s="2" t="s">
        <v>12</v>
      </c>
      <c r="E35" s="2" t="s">
        <v>50</v>
      </c>
      <c r="F35" s="2" t="s">
        <v>39</v>
      </c>
      <c r="G35" s="2" t="s">
        <v>46</v>
      </c>
      <c r="H35" s="2" t="s">
        <v>51</v>
      </c>
      <c r="I35" s="2" t="s">
        <v>41</v>
      </c>
      <c r="J35" s="2">
        <v>4</v>
      </c>
      <c r="L35" s="5" t="s">
        <v>41</v>
      </c>
      <c r="M35" s="6">
        <v>20</v>
      </c>
    </row>
    <row r="36" spans="1:13" ht="12.75" x14ac:dyDescent="0.2">
      <c r="A36" s="2" t="s">
        <v>66</v>
      </c>
      <c r="B36" s="3">
        <v>45317</v>
      </c>
      <c r="C36" s="2" t="s">
        <v>43</v>
      </c>
      <c r="D36" s="2" t="s">
        <v>30</v>
      </c>
      <c r="E36" s="2" t="s">
        <v>24</v>
      </c>
      <c r="F36" s="2" t="s">
        <v>39</v>
      </c>
      <c r="G36" s="2" t="s">
        <v>21</v>
      </c>
      <c r="H36" s="2" t="s">
        <v>16</v>
      </c>
      <c r="I36" s="2" t="s">
        <v>32</v>
      </c>
      <c r="J36" s="2">
        <v>5</v>
      </c>
      <c r="L36" s="5" t="s">
        <v>17</v>
      </c>
      <c r="M36" s="6">
        <v>17</v>
      </c>
    </row>
    <row r="37" spans="1:13" ht="12.75" x14ac:dyDescent="0.2">
      <c r="A37" s="2" t="s">
        <v>67</v>
      </c>
      <c r="B37" s="3">
        <v>45327</v>
      </c>
      <c r="C37" s="2" t="s">
        <v>29</v>
      </c>
      <c r="D37" s="2" t="s">
        <v>35</v>
      </c>
      <c r="E37" s="2" t="s">
        <v>50</v>
      </c>
      <c r="F37" s="2" t="s">
        <v>25</v>
      </c>
      <c r="G37" s="2" t="s">
        <v>21</v>
      </c>
      <c r="H37" s="2" t="s">
        <v>40</v>
      </c>
      <c r="I37" s="2" t="s">
        <v>22</v>
      </c>
      <c r="J37" s="2">
        <v>5</v>
      </c>
      <c r="L37" s="5" t="s">
        <v>44</v>
      </c>
      <c r="M37" s="6">
        <v>20</v>
      </c>
    </row>
    <row r="38" spans="1:13" ht="12.75" x14ac:dyDescent="0.2">
      <c r="A38" s="2" t="s">
        <v>68</v>
      </c>
      <c r="B38" s="3">
        <v>45450</v>
      </c>
      <c r="C38" s="2" t="s">
        <v>11</v>
      </c>
      <c r="D38" s="2" t="s">
        <v>53</v>
      </c>
      <c r="E38" s="2" t="s">
        <v>31</v>
      </c>
      <c r="F38" s="2" t="s">
        <v>20</v>
      </c>
      <c r="G38" s="2" t="s">
        <v>26</v>
      </c>
      <c r="H38" s="2" t="s">
        <v>27</v>
      </c>
      <c r="I38" s="2" t="s">
        <v>36</v>
      </c>
      <c r="J38" s="2">
        <v>4</v>
      </c>
      <c r="L38" s="5" t="s">
        <v>36</v>
      </c>
      <c r="M38" s="6">
        <v>14</v>
      </c>
    </row>
    <row r="39" spans="1:13" ht="12.75" x14ac:dyDescent="0.2">
      <c r="A39" s="2" t="s">
        <v>69</v>
      </c>
      <c r="B39" s="3">
        <v>45378</v>
      </c>
      <c r="C39" s="2" t="s">
        <v>58</v>
      </c>
      <c r="D39" s="2" t="s">
        <v>30</v>
      </c>
      <c r="E39" s="2" t="s">
        <v>24</v>
      </c>
      <c r="F39" s="2" t="s">
        <v>39</v>
      </c>
      <c r="G39" s="2" t="s">
        <v>26</v>
      </c>
      <c r="H39" s="2" t="s">
        <v>51</v>
      </c>
      <c r="I39" s="2" t="s">
        <v>36</v>
      </c>
      <c r="J39" s="2">
        <v>4</v>
      </c>
      <c r="L39" s="5" t="s">
        <v>148</v>
      </c>
      <c r="M39" s="6">
        <v>100</v>
      </c>
    </row>
    <row r="40" spans="1:13" ht="12.75" x14ac:dyDescent="0.2">
      <c r="A40" s="2" t="s">
        <v>70</v>
      </c>
      <c r="B40" s="3">
        <v>45346</v>
      </c>
      <c r="C40" s="2" t="s">
        <v>19</v>
      </c>
      <c r="D40" s="2" t="s">
        <v>53</v>
      </c>
      <c r="E40" s="2" t="s">
        <v>31</v>
      </c>
      <c r="F40" s="2" t="s">
        <v>39</v>
      </c>
      <c r="G40" s="2" t="s">
        <v>15</v>
      </c>
      <c r="H40" s="2" t="s">
        <v>16</v>
      </c>
      <c r="I40" s="2" t="s">
        <v>17</v>
      </c>
      <c r="J40" s="2">
        <v>0</v>
      </c>
    </row>
    <row r="41" spans="1:13" ht="12.75" x14ac:dyDescent="0.2">
      <c r="A41" s="2" t="s">
        <v>71</v>
      </c>
      <c r="B41" s="3">
        <v>45447</v>
      </c>
      <c r="C41" s="2" t="s">
        <v>43</v>
      </c>
      <c r="D41" s="2" t="s">
        <v>35</v>
      </c>
      <c r="E41" s="2" t="s">
        <v>50</v>
      </c>
      <c r="F41" s="2" t="s">
        <v>39</v>
      </c>
      <c r="G41" s="2" t="s">
        <v>21</v>
      </c>
      <c r="H41" s="2" t="s">
        <v>27</v>
      </c>
      <c r="I41" s="2" t="s">
        <v>41</v>
      </c>
      <c r="J41" s="2">
        <v>1</v>
      </c>
      <c r="L41" s="4" t="s">
        <v>147</v>
      </c>
      <c r="M41" t="s">
        <v>149</v>
      </c>
    </row>
    <row r="42" spans="1:13" ht="12.75" x14ac:dyDescent="0.2">
      <c r="A42" s="2" t="s">
        <v>72</v>
      </c>
      <c r="B42" s="3">
        <v>45442</v>
      </c>
      <c r="C42" s="2" t="s">
        <v>29</v>
      </c>
      <c r="D42" s="2" t="s">
        <v>30</v>
      </c>
      <c r="E42" s="2" t="s">
        <v>59</v>
      </c>
      <c r="F42" s="2" t="s">
        <v>14</v>
      </c>
      <c r="G42" s="2" t="s">
        <v>21</v>
      </c>
      <c r="H42" s="2" t="s">
        <v>16</v>
      </c>
      <c r="I42" s="2" t="s">
        <v>36</v>
      </c>
      <c r="J42" s="2">
        <v>0</v>
      </c>
      <c r="L42" s="5" t="s">
        <v>151</v>
      </c>
      <c r="M42" s="6">
        <v>21</v>
      </c>
    </row>
    <row r="43" spans="1:13" ht="12.75" x14ac:dyDescent="0.2">
      <c r="A43" s="2" t="s">
        <v>73</v>
      </c>
      <c r="B43" s="3">
        <v>45386</v>
      </c>
      <c r="C43" s="2" t="s">
        <v>11</v>
      </c>
      <c r="D43" s="2" t="s">
        <v>55</v>
      </c>
      <c r="E43" s="2" t="s">
        <v>38</v>
      </c>
      <c r="F43" s="2" t="s">
        <v>25</v>
      </c>
      <c r="G43" s="2" t="s">
        <v>46</v>
      </c>
      <c r="H43" s="2" t="s">
        <v>27</v>
      </c>
      <c r="I43" s="2" t="s">
        <v>17</v>
      </c>
      <c r="J43" s="2">
        <v>0</v>
      </c>
      <c r="L43" s="5" t="s">
        <v>152</v>
      </c>
      <c r="M43" s="6">
        <v>11</v>
      </c>
    </row>
    <row r="44" spans="1:13" ht="12.75" x14ac:dyDescent="0.2">
      <c r="A44" s="2" t="s">
        <v>74</v>
      </c>
      <c r="B44" s="3">
        <v>45422</v>
      </c>
      <c r="C44" s="2" t="s">
        <v>11</v>
      </c>
      <c r="D44" s="2" t="s">
        <v>12</v>
      </c>
      <c r="E44" s="2" t="s">
        <v>24</v>
      </c>
      <c r="F44" s="2" t="s">
        <v>20</v>
      </c>
      <c r="G44" s="2" t="s">
        <v>15</v>
      </c>
      <c r="H44" s="2" t="s">
        <v>51</v>
      </c>
      <c r="I44" s="2" t="s">
        <v>32</v>
      </c>
      <c r="J44" s="2">
        <v>4</v>
      </c>
      <c r="L44" s="5" t="s">
        <v>153</v>
      </c>
      <c r="M44" s="6">
        <v>22</v>
      </c>
    </row>
    <row r="45" spans="1:13" ht="12.75" x14ac:dyDescent="0.2">
      <c r="A45" s="2" t="s">
        <v>75</v>
      </c>
      <c r="B45" s="3">
        <v>45353</v>
      </c>
      <c r="C45" s="2" t="s">
        <v>58</v>
      </c>
      <c r="D45" s="2" t="s">
        <v>35</v>
      </c>
      <c r="E45" s="2" t="s">
        <v>13</v>
      </c>
      <c r="F45" s="2" t="s">
        <v>39</v>
      </c>
      <c r="G45" s="2" t="s">
        <v>21</v>
      </c>
      <c r="H45" s="2" t="s">
        <v>51</v>
      </c>
      <c r="I45" s="2" t="s">
        <v>36</v>
      </c>
      <c r="J45" s="2">
        <v>4</v>
      </c>
      <c r="L45" s="5" t="s">
        <v>154</v>
      </c>
      <c r="M45" s="6">
        <v>15</v>
      </c>
    </row>
    <row r="46" spans="1:13" ht="12.75" x14ac:dyDescent="0.2">
      <c r="A46" s="2" t="s">
        <v>76</v>
      </c>
      <c r="B46" s="3">
        <v>45398</v>
      </c>
      <c r="C46" s="2" t="s">
        <v>29</v>
      </c>
      <c r="D46" s="2" t="s">
        <v>55</v>
      </c>
      <c r="E46" s="2" t="s">
        <v>38</v>
      </c>
      <c r="F46" s="2" t="s">
        <v>20</v>
      </c>
      <c r="G46" s="2" t="s">
        <v>26</v>
      </c>
      <c r="H46" s="2" t="s">
        <v>51</v>
      </c>
      <c r="I46" s="2" t="s">
        <v>22</v>
      </c>
      <c r="J46" s="2">
        <v>0</v>
      </c>
      <c r="L46" s="5" t="s">
        <v>155</v>
      </c>
      <c r="M46" s="6">
        <v>15</v>
      </c>
    </row>
    <row r="47" spans="1:13" ht="12.75" x14ac:dyDescent="0.2">
      <c r="A47" s="2" t="s">
        <v>77</v>
      </c>
      <c r="B47" s="3">
        <v>45452</v>
      </c>
      <c r="C47" s="2" t="s">
        <v>64</v>
      </c>
      <c r="D47" s="2" t="s">
        <v>53</v>
      </c>
      <c r="E47" s="2" t="s">
        <v>50</v>
      </c>
      <c r="F47" s="2" t="s">
        <v>39</v>
      </c>
      <c r="G47" s="2" t="s">
        <v>46</v>
      </c>
      <c r="H47" s="2" t="s">
        <v>51</v>
      </c>
      <c r="I47" s="2" t="s">
        <v>17</v>
      </c>
      <c r="J47" s="2">
        <v>5</v>
      </c>
      <c r="L47" s="5" t="s">
        <v>156</v>
      </c>
      <c r="M47" s="6">
        <v>16</v>
      </c>
    </row>
    <row r="48" spans="1:13" ht="12.75" x14ac:dyDescent="0.2">
      <c r="A48" s="2" t="s">
        <v>78</v>
      </c>
      <c r="B48" s="3">
        <v>45347</v>
      </c>
      <c r="C48" s="2" t="s">
        <v>58</v>
      </c>
      <c r="D48" s="2" t="s">
        <v>55</v>
      </c>
      <c r="E48" s="2" t="s">
        <v>13</v>
      </c>
      <c r="F48" s="2" t="s">
        <v>39</v>
      </c>
      <c r="G48" s="2" t="s">
        <v>21</v>
      </c>
      <c r="H48" s="2" t="s">
        <v>27</v>
      </c>
      <c r="I48" s="2" t="s">
        <v>41</v>
      </c>
      <c r="J48" s="2">
        <v>2</v>
      </c>
      <c r="L48" s="5" t="s">
        <v>148</v>
      </c>
      <c r="M48" s="6">
        <v>100</v>
      </c>
    </row>
    <row r="49" spans="1:10" ht="12.75" x14ac:dyDescent="0.2">
      <c r="A49" s="2" t="s">
        <v>79</v>
      </c>
      <c r="B49" s="3">
        <v>45467</v>
      </c>
      <c r="C49" s="2" t="s">
        <v>29</v>
      </c>
      <c r="D49" s="2" t="s">
        <v>53</v>
      </c>
      <c r="E49" s="2" t="s">
        <v>13</v>
      </c>
      <c r="F49" s="2" t="s">
        <v>25</v>
      </c>
      <c r="G49" s="2" t="s">
        <v>21</v>
      </c>
      <c r="H49" s="2" t="s">
        <v>27</v>
      </c>
      <c r="I49" s="2" t="s">
        <v>22</v>
      </c>
      <c r="J49" s="2">
        <v>1</v>
      </c>
    </row>
    <row r="50" spans="1:10" ht="12.75" x14ac:dyDescent="0.2">
      <c r="A50" s="2" t="s">
        <v>80</v>
      </c>
      <c r="B50" s="3">
        <v>45403</v>
      </c>
      <c r="C50" s="2" t="s">
        <v>64</v>
      </c>
      <c r="D50" s="2" t="s">
        <v>35</v>
      </c>
      <c r="E50" s="2" t="s">
        <v>24</v>
      </c>
      <c r="F50" s="2" t="s">
        <v>14</v>
      </c>
      <c r="G50" s="2" t="s">
        <v>26</v>
      </c>
      <c r="H50" s="2" t="s">
        <v>40</v>
      </c>
      <c r="I50" s="2" t="s">
        <v>41</v>
      </c>
      <c r="J50" s="2">
        <v>1</v>
      </c>
    </row>
    <row r="51" spans="1:10" ht="12.75" x14ac:dyDescent="0.2">
      <c r="A51" s="2" t="s">
        <v>81</v>
      </c>
      <c r="B51" s="3">
        <v>45293</v>
      </c>
      <c r="C51" s="2" t="s">
        <v>19</v>
      </c>
      <c r="D51" s="2" t="s">
        <v>12</v>
      </c>
      <c r="E51" s="2" t="s">
        <v>31</v>
      </c>
      <c r="F51" s="2" t="s">
        <v>14</v>
      </c>
      <c r="G51" s="2" t="s">
        <v>46</v>
      </c>
      <c r="H51" s="2" t="s">
        <v>51</v>
      </c>
      <c r="I51" s="2" t="s">
        <v>44</v>
      </c>
      <c r="J51" s="2">
        <v>3</v>
      </c>
    </row>
    <row r="52" spans="1:10" ht="12.75" x14ac:dyDescent="0.2">
      <c r="A52" s="2" t="s">
        <v>82</v>
      </c>
      <c r="B52" s="3">
        <v>45436</v>
      </c>
      <c r="C52" s="2" t="s">
        <v>64</v>
      </c>
      <c r="D52" s="2" t="s">
        <v>35</v>
      </c>
      <c r="E52" s="2" t="s">
        <v>13</v>
      </c>
      <c r="F52" s="2" t="s">
        <v>14</v>
      </c>
      <c r="G52" s="2" t="s">
        <v>46</v>
      </c>
      <c r="H52" s="2" t="s">
        <v>16</v>
      </c>
      <c r="I52" s="2" t="s">
        <v>22</v>
      </c>
      <c r="J52" s="2">
        <v>4</v>
      </c>
    </row>
    <row r="53" spans="1:10" ht="12.75" x14ac:dyDescent="0.2">
      <c r="A53" s="2" t="s">
        <v>83</v>
      </c>
      <c r="B53" s="3">
        <v>45317</v>
      </c>
      <c r="C53" s="2" t="s">
        <v>49</v>
      </c>
      <c r="D53" s="2" t="s">
        <v>53</v>
      </c>
      <c r="E53" s="2" t="s">
        <v>50</v>
      </c>
      <c r="F53" s="2" t="s">
        <v>14</v>
      </c>
      <c r="G53" s="2" t="s">
        <v>26</v>
      </c>
      <c r="H53" s="2" t="s">
        <v>40</v>
      </c>
      <c r="I53" s="2" t="s">
        <v>17</v>
      </c>
      <c r="J53" s="2">
        <v>5</v>
      </c>
    </row>
    <row r="54" spans="1:10" ht="12.75" x14ac:dyDescent="0.2">
      <c r="A54" s="2" t="s">
        <v>84</v>
      </c>
      <c r="B54" s="3">
        <v>45314</v>
      </c>
      <c r="C54" s="2" t="s">
        <v>34</v>
      </c>
      <c r="D54" s="2" t="s">
        <v>12</v>
      </c>
      <c r="E54" s="2" t="s">
        <v>13</v>
      </c>
      <c r="F54" s="2" t="s">
        <v>25</v>
      </c>
      <c r="G54" s="2" t="s">
        <v>26</v>
      </c>
      <c r="H54" s="2" t="s">
        <v>51</v>
      </c>
      <c r="I54" s="2" t="s">
        <v>44</v>
      </c>
      <c r="J54" s="2">
        <v>0</v>
      </c>
    </row>
    <row r="55" spans="1:10" ht="12.75" x14ac:dyDescent="0.2">
      <c r="A55" s="2" t="s">
        <v>85</v>
      </c>
      <c r="B55" s="3">
        <v>45408</v>
      </c>
      <c r="C55" s="2" t="s">
        <v>29</v>
      </c>
      <c r="D55" s="2" t="s">
        <v>35</v>
      </c>
      <c r="E55" s="2" t="s">
        <v>38</v>
      </c>
      <c r="F55" s="2" t="s">
        <v>20</v>
      </c>
      <c r="G55" s="2" t="s">
        <v>26</v>
      </c>
      <c r="H55" s="2" t="s">
        <v>27</v>
      </c>
      <c r="I55" s="2" t="s">
        <v>44</v>
      </c>
      <c r="J55" s="2">
        <v>2</v>
      </c>
    </row>
    <row r="56" spans="1:10" ht="12.75" x14ac:dyDescent="0.2">
      <c r="A56" s="2" t="s">
        <v>86</v>
      </c>
      <c r="B56" s="3">
        <v>45365</v>
      </c>
      <c r="C56" s="2" t="s">
        <v>11</v>
      </c>
      <c r="D56" s="2" t="s">
        <v>12</v>
      </c>
      <c r="E56" s="2" t="s">
        <v>13</v>
      </c>
      <c r="F56" s="2" t="s">
        <v>39</v>
      </c>
      <c r="G56" s="2" t="s">
        <v>21</v>
      </c>
      <c r="H56" s="2" t="s">
        <v>27</v>
      </c>
      <c r="I56" s="2" t="s">
        <v>36</v>
      </c>
      <c r="J56" s="2">
        <v>1</v>
      </c>
    </row>
    <row r="57" spans="1:10" ht="12.75" x14ac:dyDescent="0.2">
      <c r="A57" s="2" t="s">
        <v>87</v>
      </c>
      <c r="B57" s="3">
        <v>45301</v>
      </c>
      <c r="C57" s="2" t="s">
        <v>11</v>
      </c>
      <c r="D57" s="2" t="s">
        <v>35</v>
      </c>
      <c r="E57" s="2" t="s">
        <v>13</v>
      </c>
      <c r="F57" s="2" t="s">
        <v>14</v>
      </c>
      <c r="G57" s="2" t="s">
        <v>46</v>
      </c>
      <c r="H57" s="2" t="s">
        <v>40</v>
      </c>
      <c r="I57" s="2" t="s">
        <v>32</v>
      </c>
      <c r="J57" s="2">
        <v>4</v>
      </c>
    </row>
    <row r="58" spans="1:10" ht="12.75" x14ac:dyDescent="0.2">
      <c r="A58" s="2" t="s">
        <v>88</v>
      </c>
      <c r="B58" s="3">
        <v>45410</v>
      </c>
      <c r="C58" s="2" t="s">
        <v>19</v>
      </c>
      <c r="D58" s="2" t="s">
        <v>30</v>
      </c>
      <c r="E58" s="2" t="s">
        <v>38</v>
      </c>
      <c r="F58" s="2" t="s">
        <v>20</v>
      </c>
      <c r="G58" s="2" t="s">
        <v>26</v>
      </c>
      <c r="H58" s="2" t="s">
        <v>40</v>
      </c>
      <c r="I58" s="2" t="s">
        <v>44</v>
      </c>
      <c r="J58" s="2">
        <v>2</v>
      </c>
    </row>
    <row r="59" spans="1:10" ht="12.75" x14ac:dyDescent="0.2">
      <c r="A59" s="2" t="s">
        <v>89</v>
      </c>
      <c r="B59" s="3">
        <v>45314</v>
      </c>
      <c r="C59" s="2" t="s">
        <v>34</v>
      </c>
      <c r="D59" s="2" t="s">
        <v>12</v>
      </c>
      <c r="E59" s="2" t="s">
        <v>24</v>
      </c>
      <c r="F59" s="2" t="s">
        <v>25</v>
      </c>
      <c r="G59" s="2" t="s">
        <v>26</v>
      </c>
      <c r="H59" s="2" t="s">
        <v>40</v>
      </c>
      <c r="I59" s="2" t="s">
        <v>32</v>
      </c>
      <c r="J59" s="2">
        <v>2</v>
      </c>
    </row>
    <row r="60" spans="1:10" ht="12.75" x14ac:dyDescent="0.2">
      <c r="A60" s="2" t="s">
        <v>90</v>
      </c>
      <c r="B60" s="3">
        <v>45370</v>
      </c>
      <c r="C60" s="2" t="s">
        <v>11</v>
      </c>
      <c r="D60" s="2" t="s">
        <v>35</v>
      </c>
      <c r="E60" s="2" t="s">
        <v>38</v>
      </c>
      <c r="F60" s="2" t="s">
        <v>25</v>
      </c>
      <c r="G60" s="2" t="s">
        <v>46</v>
      </c>
      <c r="H60" s="2" t="s">
        <v>27</v>
      </c>
      <c r="I60" s="2" t="s">
        <v>36</v>
      </c>
      <c r="J60" s="2">
        <v>4</v>
      </c>
    </row>
    <row r="61" spans="1:10" ht="12.75" x14ac:dyDescent="0.2">
      <c r="A61" s="2" t="s">
        <v>91</v>
      </c>
      <c r="B61" s="3">
        <v>45371</v>
      </c>
      <c r="C61" s="2" t="s">
        <v>11</v>
      </c>
      <c r="D61" s="2" t="s">
        <v>12</v>
      </c>
      <c r="E61" s="2" t="s">
        <v>59</v>
      </c>
      <c r="F61" s="2" t="s">
        <v>14</v>
      </c>
      <c r="G61" s="2" t="s">
        <v>46</v>
      </c>
      <c r="H61" s="2" t="s">
        <v>51</v>
      </c>
      <c r="I61" s="2" t="s">
        <v>32</v>
      </c>
      <c r="J61" s="2">
        <v>3</v>
      </c>
    </row>
    <row r="62" spans="1:10" ht="12.75" x14ac:dyDescent="0.2">
      <c r="A62" s="2" t="s">
        <v>92</v>
      </c>
      <c r="B62" s="3">
        <v>45417</v>
      </c>
      <c r="C62" s="2" t="s">
        <v>19</v>
      </c>
      <c r="D62" s="2" t="s">
        <v>35</v>
      </c>
      <c r="E62" s="2" t="s">
        <v>50</v>
      </c>
      <c r="F62" s="2" t="s">
        <v>39</v>
      </c>
      <c r="G62" s="2" t="s">
        <v>15</v>
      </c>
      <c r="H62" s="2" t="s">
        <v>40</v>
      </c>
      <c r="I62" s="2" t="s">
        <v>44</v>
      </c>
      <c r="J62" s="2">
        <v>0</v>
      </c>
    </row>
    <row r="63" spans="1:10" ht="12.75" x14ac:dyDescent="0.2">
      <c r="A63" s="2" t="s">
        <v>93</v>
      </c>
      <c r="B63" s="3">
        <v>45402</v>
      </c>
      <c r="C63" s="2" t="s">
        <v>11</v>
      </c>
      <c r="D63" s="2" t="s">
        <v>12</v>
      </c>
      <c r="E63" s="2" t="s">
        <v>38</v>
      </c>
      <c r="F63" s="2" t="s">
        <v>20</v>
      </c>
      <c r="G63" s="2" t="s">
        <v>15</v>
      </c>
      <c r="H63" s="2" t="s">
        <v>51</v>
      </c>
      <c r="I63" s="2" t="s">
        <v>17</v>
      </c>
      <c r="J63" s="2">
        <v>1</v>
      </c>
    </row>
    <row r="64" spans="1:10" ht="12.75" x14ac:dyDescent="0.2">
      <c r="A64" s="2" t="s">
        <v>94</v>
      </c>
      <c r="B64" s="3">
        <v>45466</v>
      </c>
      <c r="C64" s="2" t="s">
        <v>58</v>
      </c>
      <c r="D64" s="2" t="s">
        <v>35</v>
      </c>
      <c r="E64" s="2" t="s">
        <v>50</v>
      </c>
      <c r="F64" s="2" t="s">
        <v>39</v>
      </c>
      <c r="G64" s="2" t="s">
        <v>46</v>
      </c>
      <c r="H64" s="2" t="s">
        <v>27</v>
      </c>
      <c r="I64" s="2" t="s">
        <v>41</v>
      </c>
      <c r="J64" s="2">
        <v>0</v>
      </c>
    </row>
    <row r="65" spans="1:10" ht="12.75" x14ac:dyDescent="0.2">
      <c r="A65" s="2" t="s">
        <v>95</v>
      </c>
      <c r="B65" s="3">
        <v>45369</v>
      </c>
      <c r="C65" s="2" t="s">
        <v>64</v>
      </c>
      <c r="D65" s="2" t="s">
        <v>30</v>
      </c>
      <c r="E65" s="2" t="s">
        <v>50</v>
      </c>
      <c r="F65" s="2" t="s">
        <v>14</v>
      </c>
      <c r="G65" s="2" t="s">
        <v>15</v>
      </c>
      <c r="H65" s="2" t="s">
        <v>16</v>
      </c>
      <c r="I65" s="2" t="s">
        <v>36</v>
      </c>
      <c r="J65" s="2">
        <v>5</v>
      </c>
    </row>
    <row r="66" spans="1:10" ht="12.75" x14ac:dyDescent="0.2">
      <c r="A66" s="2" t="s">
        <v>96</v>
      </c>
      <c r="B66" s="3">
        <v>45436</v>
      </c>
      <c r="C66" s="2" t="s">
        <v>34</v>
      </c>
      <c r="D66" s="2" t="s">
        <v>55</v>
      </c>
      <c r="E66" s="2" t="s">
        <v>31</v>
      </c>
      <c r="F66" s="2" t="s">
        <v>20</v>
      </c>
      <c r="G66" s="2" t="s">
        <v>21</v>
      </c>
      <c r="H66" s="2" t="s">
        <v>40</v>
      </c>
      <c r="I66" s="2" t="s">
        <v>44</v>
      </c>
      <c r="J66" s="2">
        <v>2</v>
      </c>
    </row>
    <row r="67" spans="1:10" ht="12.75" x14ac:dyDescent="0.2">
      <c r="A67" s="2" t="s">
        <v>97</v>
      </c>
      <c r="B67" s="3">
        <v>45383</v>
      </c>
      <c r="C67" s="2" t="s">
        <v>49</v>
      </c>
      <c r="D67" s="2" t="s">
        <v>30</v>
      </c>
      <c r="E67" s="2" t="s">
        <v>24</v>
      </c>
      <c r="F67" s="2" t="s">
        <v>25</v>
      </c>
      <c r="G67" s="2" t="s">
        <v>15</v>
      </c>
      <c r="H67" s="2" t="s">
        <v>16</v>
      </c>
      <c r="I67" s="2" t="s">
        <v>41</v>
      </c>
      <c r="J67" s="2">
        <v>0</v>
      </c>
    </row>
    <row r="68" spans="1:10" ht="12.75" x14ac:dyDescent="0.2">
      <c r="A68" s="2" t="s">
        <v>98</v>
      </c>
      <c r="B68" s="3">
        <v>45347</v>
      </c>
      <c r="C68" s="2" t="s">
        <v>43</v>
      </c>
      <c r="D68" s="2" t="s">
        <v>35</v>
      </c>
      <c r="E68" s="2" t="s">
        <v>31</v>
      </c>
      <c r="F68" s="2" t="s">
        <v>20</v>
      </c>
      <c r="G68" s="2" t="s">
        <v>21</v>
      </c>
      <c r="H68" s="2" t="s">
        <v>51</v>
      </c>
      <c r="I68" s="2" t="s">
        <v>36</v>
      </c>
      <c r="J68" s="2">
        <v>2</v>
      </c>
    </row>
    <row r="69" spans="1:10" ht="12.75" x14ac:dyDescent="0.2">
      <c r="A69" s="2" t="s">
        <v>99</v>
      </c>
      <c r="B69" s="3">
        <v>45311</v>
      </c>
      <c r="C69" s="2" t="s">
        <v>64</v>
      </c>
      <c r="D69" s="2" t="s">
        <v>55</v>
      </c>
      <c r="E69" s="2" t="s">
        <v>38</v>
      </c>
      <c r="F69" s="2" t="s">
        <v>25</v>
      </c>
      <c r="G69" s="2" t="s">
        <v>26</v>
      </c>
      <c r="H69" s="2" t="s">
        <v>16</v>
      </c>
      <c r="I69" s="2" t="s">
        <v>41</v>
      </c>
      <c r="J69" s="2">
        <v>3</v>
      </c>
    </row>
    <row r="70" spans="1:10" ht="12.75" x14ac:dyDescent="0.2">
      <c r="A70" s="2" t="s">
        <v>100</v>
      </c>
      <c r="B70" s="3">
        <v>45345</v>
      </c>
      <c r="C70" s="2" t="s">
        <v>11</v>
      </c>
      <c r="D70" s="2" t="s">
        <v>35</v>
      </c>
      <c r="E70" s="2" t="s">
        <v>31</v>
      </c>
      <c r="F70" s="2" t="s">
        <v>25</v>
      </c>
      <c r="G70" s="2" t="s">
        <v>15</v>
      </c>
      <c r="H70" s="2" t="s">
        <v>51</v>
      </c>
      <c r="I70" s="2" t="s">
        <v>41</v>
      </c>
      <c r="J70" s="2">
        <v>5</v>
      </c>
    </row>
    <row r="71" spans="1:10" ht="12.75" x14ac:dyDescent="0.2">
      <c r="A71" s="2" t="s">
        <v>101</v>
      </c>
      <c r="B71" s="3">
        <v>45433</v>
      </c>
      <c r="C71" s="2" t="s">
        <v>11</v>
      </c>
      <c r="D71" s="2" t="s">
        <v>12</v>
      </c>
      <c r="E71" s="2" t="s">
        <v>13</v>
      </c>
      <c r="F71" s="2" t="s">
        <v>14</v>
      </c>
      <c r="G71" s="2" t="s">
        <v>21</v>
      </c>
      <c r="H71" s="2" t="s">
        <v>16</v>
      </c>
      <c r="I71" s="2" t="s">
        <v>32</v>
      </c>
      <c r="J71" s="2">
        <v>4</v>
      </c>
    </row>
    <row r="72" spans="1:10" ht="12.75" x14ac:dyDescent="0.2">
      <c r="A72" s="2" t="s">
        <v>102</v>
      </c>
      <c r="B72" s="3">
        <v>45374</v>
      </c>
      <c r="C72" s="2" t="s">
        <v>34</v>
      </c>
      <c r="D72" s="2" t="s">
        <v>12</v>
      </c>
      <c r="E72" s="2" t="s">
        <v>59</v>
      </c>
      <c r="F72" s="2" t="s">
        <v>20</v>
      </c>
      <c r="G72" s="2" t="s">
        <v>26</v>
      </c>
      <c r="H72" s="2" t="s">
        <v>16</v>
      </c>
      <c r="I72" s="2" t="s">
        <v>41</v>
      </c>
      <c r="J72" s="2">
        <v>3</v>
      </c>
    </row>
    <row r="73" spans="1:10" ht="12.75" x14ac:dyDescent="0.2">
      <c r="A73" s="2" t="s">
        <v>103</v>
      </c>
      <c r="B73" s="3">
        <v>45433</v>
      </c>
      <c r="C73" s="2" t="s">
        <v>34</v>
      </c>
      <c r="D73" s="2" t="s">
        <v>12</v>
      </c>
      <c r="E73" s="2" t="s">
        <v>59</v>
      </c>
      <c r="F73" s="2" t="s">
        <v>25</v>
      </c>
      <c r="G73" s="2" t="s">
        <v>26</v>
      </c>
      <c r="H73" s="2" t="s">
        <v>40</v>
      </c>
      <c r="I73" s="2" t="s">
        <v>44</v>
      </c>
      <c r="J73" s="2">
        <v>5</v>
      </c>
    </row>
    <row r="74" spans="1:10" ht="12.75" x14ac:dyDescent="0.2">
      <c r="A74" s="2" t="s">
        <v>104</v>
      </c>
      <c r="B74" s="3">
        <v>45367</v>
      </c>
      <c r="C74" s="2" t="s">
        <v>11</v>
      </c>
      <c r="D74" s="2" t="s">
        <v>30</v>
      </c>
      <c r="E74" s="2" t="s">
        <v>13</v>
      </c>
      <c r="F74" s="2" t="s">
        <v>20</v>
      </c>
      <c r="G74" s="2" t="s">
        <v>46</v>
      </c>
      <c r="H74" s="2" t="s">
        <v>40</v>
      </c>
      <c r="I74" s="2" t="s">
        <v>32</v>
      </c>
      <c r="J74" s="2">
        <v>2</v>
      </c>
    </row>
    <row r="75" spans="1:10" ht="12.75" x14ac:dyDescent="0.2">
      <c r="A75" s="2" t="s">
        <v>105</v>
      </c>
      <c r="B75" s="3">
        <v>45317</v>
      </c>
      <c r="C75" s="2" t="s">
        <v>19</v>
      </c>
      <c r="D75" s="2" t="s">
        <v>30</v>
      </c>
      <c r="E75" s="2" t="s">
        <v>38</v>
      </c>
      <c r="F75" s="2" t="s">
        <v>20</v>
      </c>
      <c r="G75" s="2" t="s">
        <v>26</v>
      </c>
      <c r="H75" s="2" t="s">
        <v>27</v>
      </c>
      <c r="I75" s="2" t="s">
        <v>44</v>
      </c>
      <c r="J75" s="2">
        <v>4</v>
      </c>
    </row>
    <row r="76" spans="1:10" ht="12.75" x14ac:dyDescent="0.2">
      <c r="A76" s="2" t="s">
        <v>106</v>
      </c>
      <c r="B76" s="3">
        <v>45426</v>
      </c>
      <c r="C76" s="2" t="s">
        <v>29</v>
      </c>
      <c r="D76" s="2" t="s">
        <v>12</v>
      </c>
      <c r="E76" s="2" t="s">
        <v>38</v>
      </c>
      <c r="F76" s="2" t="s">
        <v>39</v>
      </c>
      <c r="G76" s="2" t="s">
        <v>15</v>
      </c>
      <c r="H76" s="2" t="s">
        <v>27</v>
      </c>
      <c r="I76" s="2" t="s">
        <v>41</v>
      </c>
      <c r="J76" s="2">
        <v>2</v>
      </c>
    </row>
    <row r="77" spans="1:10" ht="12.75" x14ac:dyDescent="0.2">
      <c r="A77" s="2" t="s">
        <v>107</v>
      </c>
      <c r="B77" s="3">
        <v>45423</v>
      </c>
      <c r="C77" s="2" t="s">
        <v>11</v>
      </c>
      <c r="D77" s="2" t="s">
        <v>35</v>
      </c>
      <c r="E77" s="2" t="s">
        <v>24</v>
      </c>
      <c r="F77" s="2" t="s">
        <v>20</v>
      </c>
      <c r="G77" s="2" t="s">
        <v>26</v>
      </c>
      <c r="H77" s="2" t="s">
        <v>27</v>
      </c>
      <c r="I77" s="2" t="s">
        <v>32</v>
      </c>
      <c r="J77" s="2">
        <v>5</v>
      </c>
    </row>
    <row r="78" spans="1:10" ht="12.75" x14ac:dyDescent="0.2">
      <c r="A78" s="2" t="s">
        <v>108</v>
      </c>
      <c r="B78" s="3">
        <v>45355</v>
      </c>
      <c r="C78" s="2" t="s">
        <v>19</v>
      </c>
      <c r="D78" s="2" t="s">
        <v>30</v>
      </c>
      <c r="E78" s="2" t="s">
        <v>50</v>
      </c>
      <c r="F78" s="2" t="s">
        <v>20</v>
      </c>
      <c r="G78" s="2" t="s">
        <v>21</v>
      </c>
      <c r="H78" s="2" t="s">
        <v>40</v>
      </c>
      <c r="I78" s="2" t="s">
        <v>44</v>
      </c>
      <c r="J78" s="2">
        <v>5</v>
      </c>
    </row>
    <row r="79" spans="1:10" ht="12.75" x14ac:dyDescent="0.2">
      <c r="A79" s="2" t="s">
        <v>109</v>
      </c>
      <c r="B79" s="3">
        <v>45453</v>
      </c>
      <c r="C79" s="2" t="s">
        <v>58</v>
      </c>
      <c r="D79" s="2" t="s">
        <v>35</v>
      </c>
      <c r="E79" s="2" t="s">
        <v>13</v>
      </c>
      <c r="F79" s="2" t="s">
        <v>14</v>
      </c>
      <c r="G79" s="2" t="s">
        <v>26</v>
      </c>
      <c r="H79" s="2" t="s">
        <v>51</v>
      </c>
      <c r="I79" s="2" t="s">
        <v>32</v>
      </c>
      <c r="J79" s="2">
        <v>1</v>
      </c>
    </row>
    <row r="80" spans="1:10" ht="12.75" x14ac:dyDescent="0.2">
      <c r="A80" s="2" t="s">
        <v>110</v>
      </c>
      <c r="B80" s="3">
        <v>45301</v>
      </c>
      <c r="C80" s="2" t="s">
        <v>64</v>
      </c>
      <c r="D80" s="2" t="s">
        <v>12</v>
      </c>
      <c r="E80" s="2" t="s">
        <v>59</v>
      </c>
      <c r="F80" s="2" t="s">
        <v>39</v>
      </c>
      <c r="G80" s="2" t="s">
        <v>26</v>
      </c>
      <c r="H80" s="2" t="s">
        <v>51</v>
      </c>
      <c r="I80" s="2" t="s">
        <v>44</v>
      </c>
      <c r="J80" s="2">
        <v>4</v>
      </c>
    </row>
    <row r="81" spans="1:10" ht="12.75" x14ac:dyDescent="0.2">
      <c r="A81" s="2" t="s">
        <v>111</v>
      </c>
      <c r="B81" s="3">
        <v>45360</v>
      </c>
      <c r="C81" s="2" t="s">
        <v>29</v>
      </c>
      <c r="D81" s="2" t="s">
        <v>55</v>
      </c>
      <c r="E81" s="2" t="s">
        <v>13</v>
      </c>
      <c r="F81" s="2" t="s">
        <v>25</v>
      </c>
      <c r="G81" s="2" t="s">
        <v>15</v>
      </c>
      <c r="H81" s="2" t="s">
        <v>40</v>
      </c>
      <c r="I81" s="2" t="s">
        <v>22</v>
      </c>
      <c r="J81" s="2">
        <v>1</v>
      </c>
    </row>
    <row r="82" spans="1:10" ht="12.75" x14ac:dyDescent="0.2">
      <c r="A82" s="2" t="s">
        <v>112</v>
      </c>
      <c r="B82" s="3">
        <v>45367</v>
      </c>
      <c r="C82" s="2" t="s">
        <v>49</v>
      </c>
      <c r="D82" s="2" t="s">
        <v>12</v>
      </c>
      <c r="E82" s="2" t="s">
        <v>50</v>
      </c>
      <c r="F82" s="2" t="s">
        <v>25</v>
      </c>
      <c r="G82" s="2" t="s">
        <v>46</v>
      </c>
      <c r="H82" s="2" t="s">
        <v>40</v>
      </c>
      <c r="I82" s="2" t="s">
        <v>17</v>
      </c>
      <c r="J82" s="2">
        <v>2</v>
      </c>
    </row>
    <row r="83" spans="1:10" ht="12.75" x14ac:dyDescent="0.2">
      <c r="A83" s="2" t="s">
        <v>113</v>
      </c>
      <c r="B83" s="3">
        <v>45337</v>
      </c>
      <c r="C83" s="2" t="s">
        <v>34</v>
      </c>
      <c r="D83" s="2" t="s">
        <v>30</v>
      </c>
      <c r="E83" s="2" t="s">
        <v>24</v>
      </c>
      <c r="F83" s="2" t="s">
        <v>14</v>
      </c>
      <c r="G83" s="2" t="s">
        <v>46</v>
      </c>
      <c r="H83" s="2" t="s">
        <v>27</v>
      </c>
      <c r="I83" s="2" t="s">
        <v>44</v>
      </c>
      <c r="J83" s="2">
        <v>1</v>
      </c>
    </row>
    <row r="84" spans="1:10" ht="12.75" x14ac:dyDescent="0.2">
      <c r="A84" s="2" t="s">
        <v>114</v>
      </c>
      <c r="B84" s="3">
        <v>45417</v>
      </c>
      <c r="C84" s="2" t="s">
        <v>34</v>
      </c>
      <c r="D84" s="2" t="s">
        <v>12</v>
      </c>
      <c r="E84" s="2" t="s">
        <v>24</v>
      </c>
      <c r="F84" s="2" t="s">
        <v>25</v>
      </c>
      <c r="G84" s="2" t="s">
        <v>21</v>
      </c>
      <c r="H84" s="2" t="s">
        <v>16</v>
      </c>
      <c r="I84" s="2" t="s">
        <v>41</v>
      </c>
      <c r="J84" s="2">
        <v>3</v>
      </c>
    </row>
    <row r="85" spans="1:10" ht="12.75" x14ac:dyDescent="0.2">
      <c r="A85" s="2" t="s">
        <v>115</v>
      </c>
      <c r="B85" s="3">
        <v>45408</v>
      </c>
      <c r="C85" s="2" t="s">
        <v>19</v>
      </c>
      <c r="D85" s="2" t="s">
        <v>35</v>
      </c>
      <c r="E85" s="2" t="s">
        <v>50</v>
      </c>
      <c r="F85" s="2" t="s">
        <v>39</v>
      </c>
      <c r="G85" s="2" t="s">
        <v>26</v>
      </c>
      <c r="H85" s="2" t="s">
        <v>16</v>
      </c>
      <c r="I85" s="2" t="s">
        <v>17</v>
      </c>
      <c r="J85" s="2">
        <v>0</v>
      </c>
    </row>
    <row r="86" spans="1:10" ht="12.75" x14ac:dyDescent="0.2">
      <c r="A86" s="2" t="s">
        <v>116</v>
      </c>
      <c r="B86" s="3">
        <v>45302</v>
      </c>
      <c r="C86" s="2" t="s">
        <v>64</v>
      </c>
      <c r="D86" s="2" t="s">
        <v>35</v>
      </c>
      <c r="E86" s="2" t="s">
        <v>24</v>
      </c>
      <c r="F86" s="2" t="s">
        <v>20</v>
      </c>
      <c r="G86" s="2" t="s">
        <v>21</v>
      </c>
      <c r="H86" s="2" t="s">
        <v>40</v>
      </c>
      <c r="I86" s="2" t="s">
        <v>44</v>
      </c>
      <c r="J86" s="2">
        <v>4</v>
      </c>
    </row>
    <row r="87" spans="1:10" ht="12.75" x14ac:dyDescent="0.2">
      <c r="A87" s="2" t="s">
        <v>117</v>
      </c>
      <c r="B87" s="3">
        <v>45430</v>
      </c>
      <c r="C87" s="2" t="s">
        <v>58</v>
      </c>
      <c r="D87" s="2" t="s">
        <v>53</v>
      </c>
      <c r="E87" s="2" t="s">
        <v>38</v>
      </c>
      <c r="F87" s="2" t="s">
        <v>14</v>
      </c>
      <c r="G87" s="2" t="s">
        <v>15</v>
      </c>
      <c r="H87" s="2" t="s">
        <v>40</v>
      </c>
      <c r="I87" s="2" t="s">
        <v>17</v>
      </c>
      <c r="J87" s="2">
        <v>2</v>
      </c>
    </row>
    <row r="88" spans="1:10" ht="12.75" x14ac:dyDescent="0.2">
      <c r="A88" s="2" t="s">
        <v>118</v>
      </c>
      <c r="B88" s="3">
        <v>45448</v>
      </c>
      <c r="C88" s="2" t="s">
        <v>19</v>
      </c>
      <c r="D88" s="2" t="s">
        <v>35</v>
      </c>
      <c r="E88" s="2" t="s">
        <v>59</v>
      </c>
      <c r="F88" s="2" t="s">
        <v>39</v>
      </c>
      <c r="G88" s="2" t="s">
        <v>15</v>
      </c>
      <c r="H88" s="2" t="s">
        <v>51</v>
      </c>
      <c r="I88" s="2" t="s">
        <v>41</v>
      </c>
      <c r="J88" s="2">
        <v>4</v>
      </c>
    </row>
    <row r="89" spans="1:10" ht="12.75" x14ac:dyDescent="0.2">
      <c r="A89" s="2" t="s">
        <v>119</v>
      </c>
      <c r="B89" s="3">
        <v>45352</v>
      </c>
      <c r="C89" s="2" t="s">
        <v>34</v>
      </c>
      <c r="D89" s="2" t="s">
        <v>35</v>
      </c>
      <c r="E89" s="2" t="s">
        <v>50</v>
      </c>
      <c r="F89" s="2" t="s">
        <v>25</v>
      </c>
      <c r="G89" s="2" t="s">
        <v>15</v>
      </c>
      <c r="H89" s="2" t="s">
        <v>40</v>
      </c>
      <c r="I89" s="2" t="s">
        <v>36</v>
      </c>
      <c r="J89" s="2">
        <v>1</v>
      </c>
    </row>
    <row r="90" spans="1:10" ht="12.75" x14ac:dyDescent="0.2">
      <c r="A90" s="2" t="s">
        <v>120</v>
      </c>
      <c r="B90" s="3">
        <v>45460</v>
      </c>
      <c r="C90" s="2" t="s">
        <v>34</v>
      </c>
      <c r="D90" s="2" t="s">
        <v>35</v>
      </c>
      <c r="E90" s="2" t="s">
        <v>38</v>
      </c>
      <c r="F90" s="2" t="s">
        <v>14</v>
      </c>
      <c r="G90" s="2" t="s">
        <v>46</v>
      </c>
      <c r="H90" s="2" t="s">
        <v>27</v>
      </c>
      <c r="I90" s="2" t="s">
        <v>41</v>
      </c>
      <c r="J90" s="2">
        <v>3</v>
      </c>
    </row>
    <row r="91" spans="1:10" ht="12.75" x14ac:dyDescent="0.2">
      <c r="A91" s="2" t="s">
        <v>121</v>
      </c>
      <c r="B91" s="3">
        <v>45399</v>
      </c>
      <c r="C91" s="2" t="s">
        <v>64</v>
      </c>
      <c r="D91" s="2" t="s">
        <v>55</v>
      </c>
      <c r="E91" s="2" t="s">
        <v>59</v>
      </c>
      <c r="F91" s="2" t="s">
        <v>39</v>
      </c>
      <c r="G91" s="2" t="s">
        <v>21</v>
      </c>
      <c r="H91" s="2" t="s">
        <v>16</v>
      </c>
      <c r="I91" s="2" t="s">
        <v>22</v>
      </c>
      <c r="J91" s="2">
        <v>4</v>
      </c>
    </row>
    <row r="92" spans="1:10" ht="12.75" x14ac:dyDescent="0.2">
      <c r="A92" s="2" t="s">
        <v>122</v>
      </c>
      <c r="B92" s="3">
        <v>45437</v>
      </c>
      <c r="C92" s="2" t="s">
        <v>34</v>
      </c>
      <c r="D92" s="2" t="s">
        <v>53</v>
      </c>
      <c r="E92" s="2" t="s">
        <v>31</v>
      </c>
      <c r="F92" s="2" t="s">
        <v>39</v>
      </c>
      <c r="G92" s="2" t="s">
        <v>15</v>
      </c>
      <c r="H92" s="2" t="s">
        <v>27</v>
      </c>
      <c r="I92" s="2" t="s">
        <v>36</v>
      </c>
      <c r="J92" s="2">
        <v>4</v>
      </c>
    </row>
    <row r="93" spans="1:10" ht="12.75" x14ac:dyDescent="0.2">
      <c r="A93" s="2" t="s">
        <v>123</v>
      </c>
      <c r="B93" s="3">
        <v>45330</v>
      </c>
      <c r="C93" s="2" t="s">
        <v>58</v>
      </c>
      <c r="D93" s="2" t="s">
        <v>53</v>
      </c>
      <c r="E93" s="2" t="s">
        <v>31</v>
      </c>
      <c r="F93" s="2" t="s">
        <v>14</v>
      </c>
      <c r="G93" s="2" t="s">
        <v>26</v>
      </c>
      <c r="H93" s="2" t="s">
        <v>40</v>
      </c>
      <c r="I93" s="2" t="s">
        <v>32</v>
      </c>
      <c r="J93" s="2">
        <v>2</v>
      </c>
    </row>
    <row r="94" spans="1:10" ht="12.75" x14ac:dyDescent="0.2">
      <c r="A94" s="2" t="s">
        <v>124</v>
      </c>
      <c r="B94" s="3">
        <v>45382</v>
      </c>
      <c r="C94" s="2" t="s">
        <v>58</v>
      </c>
      <c r="D94" s="2" t="s">
        <v>55</v>
      </c>
      <c r="E94" s="2" t="s">
        <v>38</v>
      </c>
      <c r="F94" s="2" t="s">
        <v>14</v>
      </c>
      <c r="G94" s="2" t="s">
        <v>21</v>
      </c>
      <c r="H94" s="2" t="s">
        <v>27</v>
      </c>
      <c r="I94" s="2" t="s">
        <v>17</v>
      </c>
      <c r="J94" s="2">
        <v>0</v>
      </c>
    </row>
    <row r="95" spans="1:10" ht="12.75" x14ac:dyDescent="0.2">
      <c r="A95" s="2" t="s">
        <v>125</v>
      </c>
      <c r="B95" s="3">
        <v>45329</v>
      </c>
      <c r="C95" s="2" t="s">
        <v>19</v>
      </c>
      <c r="D95" s="2" t="s">
        <v>30</v>
      </c>
      <c r="E95" s="2" t="s">
        <v>59</v>
      </c>
      <c r="F95" s="2" t="s">
        <v>14</v>
      </c>
      <c r="G95" s="2" t="s">
        <v>46</v>
      </c>
      <c r="H95" s="2" t="s">
        <v>40</v>
      </c>
      <c r="I95" s="2" t="s">
        <v>17</v>
      </c>
      <c r="J95" s="2">
        <v>5</v>
      </c>
    </row>
    <row r="96" spans="1:10" ht="12.75" x14ac:dyDescent="0.2">
      <c r="A96" s="2" t="s">
        <v>126</v>
      </c>
      <c r="B96" s="3">
        <v>45375</v>
      </c>
      <c r="C96" s="2" t="s">
        <v>49</v>
      </c>
      <c r="D96" s="2" t="s">
        <v>12</v>
      </c>
      <c r="E96" s="2" t="s">
        <v>13</v>
      </c>
      <c r="F96" s="2" t="s">
        <v>39</v>
      </c>
      <c r="G96" s="2" t="s">
        <v>15</v>
      </c>
      <c r="H96" s="2" t="s">
        <v>40</v>
      </c>
      <c r="I96" s="2" t="s">
        <v>22</v>
      </c>
      <c r="J96" s="2">
        <v>4</v>
      </c>
    </row>
    <row r="97" spans="1:10" ht="12.75" x14ac:dyDescent="0.2">
      <c r="A97" s="2" t="s">
        <v>127</v>
      </c>
      <c r="B97" s="3">
        <v>45320</v>
      </c>
      <c r="C97" s="2" t="s">
        <v>43</v>
      </c>
      <c r="D97" s="2" t="s">
        <v>30</v>
      </c>
      <c r="E97" s="2" t="s">
        <v>38</v>
      </c>
      <c r="F97" s="2" t="s">
        <v>14</v>
      </c>
      <c r="G97" s="2" t="s">
        <v>15</v>
      </c>
      <c r="H97" s="2" t="s">
        <v>51</v>
      </c>
      <c r="I97" s="2" t="s">
        <v>22</v>
      </c>
      <c r="J97" s="2">
        <v>0</v>
      </c>
    </row>
    <row r="98" spans="1:10" ht="12.75" x14ac:dyDescent="0.2">
      <c r="A98" s="2" t="s">
        <v>128</v>
      </c>
      <c r="B98" s="3">
        <v>45404</v>
      </c>
      <c r="C98" s="2" t="s">
        <v>49</v>
      </c>
      <c r="D98" s="2" t="s">
        <v>30</v>
      </c>
      <c r="E98" s="2" t="s">
        <v>59</v>
      </c>
      <c r="F98" s="2" t="s">
        <v>25</v>
      </c>
      <c r="G98" s="2" t="s">
        <v>46</v>
      </c>
      <c r="H98" s="2" t="s">
        <v>27</v>
      </c>
      <c r="I98" s="2" t="s">
        <v>17</v>
      </c>
      <c r="J98" s="2">
        <v>3</v>
      </c>
    </row>
    <row r="99" spans="1:10" ht="12.75" x14ac:dyDescent="0.2">
      <c r="A99" s="2" t="s">
        <v>129</v>
      </c>
      <c r="B99" s="3">
        <v>45424</v>
      </c>
      <c r="C99" s="2" t="s">
        <v>19</v>
      </c>
      <c r="D99" s="2" t="s">
        <v>53</v>
      </c>
      <c r="E99" s="2" t="s">
        <v>50</v>
      </c>
      <c r="F99" s="2" t="s">
        <v>25</v>
      </c>
      <c r="G99" s="2" t="s">
        <v>21</v>
      </c>
      <c r="H99" s="2" t="s">
        <v>16</v>
      </c>
      <c r="I99" s="2" t="s">
        <v>36</v>
      </c>
      <c r="J99" s="2">
        <v>4</v>
      </c>
    </row>
    <row r="100" spans="1:10" ht="12.75" x14ac:dyDescent="0.2">
      <c r="A100" s="2" t="s">
        <v>130</v>
      </c>
      <c r="B100" s="3">
        <v>45319</v>
      </c>
      <c r="C100" s="2" t="s">
        <v>29</v>
      </c>
      <c r="D100" s="2" t="s">
        <v>12</v>
      </c>
      <c r="E100" s="2" t="s">
        <v>50</v>
      </c>
      <c r="F100" s="2" t="s">
        <v>39</v>
      </c>
      <c r="G100" s="2" t="s">
        <v>26</v>
      </c>
      <c r="H100" s="2" t="s">
        <v>51</v>
      </c>
      <c r="I100" s="2" t="s">
        <v>32</v>
      </c>
      <c r="J100" s="2">
        <v>2</v>
      </c>
    </row>
    <row r="101" spans="1:10" ht="12.75" x14ac:dyDescent="0.2">
      <c r="A101" s="2" t="s">
        <v>131</v>
      </c>
      <c r="B101" s="3">
        <v>45308</v>
      </c>
      <c r="C101" s="2" t="s">
        <v>43</v>
      </c>
      <c r="D101" s="2" t="s">
        <v>35</v>
      </c>
      <c r="E101" s="2" t="s">
        <v>31</v>
      </c>
      <c r="F101" s="2" t="s">
        <v>20</v>
      </c>
      <c r="G101" s="2" t="s">
        <v>46</v>
      </c>
      <c r="H101" s="2" t="s">
        <v>51</v>
      </c>
      <c r="I101" s="2" t="s">
        <v>44</v>
      </c>
      <c r="J101" s="2">
        <v>3</v>
      </c>
    </row>
    <row r="102" spans="1:10" ht="12.75" x14ac:dyDescent="0.2">
      <c r="A102" s="2" t="s">
        <v>132</v>
      </c>
      <c r="B102" s="3">
        <v>45302</v>
      </c>
      <c r="C102" s="2" t="s">
        <v>64</v>
      </c>
      <c r="D102" s="2" t="s">
        <v>35</v>
      </c>
      <c r="E102" s="2" t="s">
        <v>38</v>
      </c>
      <c r="F102" s="2" t="s">
        <v>14</v>
      </c>
      <c r="G102" s="2" t="s">
        <v>15</v>
      </c>
      <c r="H102" s="2" t="s">
        <v>51</v>
      </c>
      <c r="I102" s="2" t="s">
        <v>41</v>
      </c>
      <c r="J102" s="2">
        <v>2</v>
      </c>
    </row>
    <row r="103" spans="1:10" ht="12.75" x14ac:dyDescent="0.2">
      <c r="A103" s="2" t="s">
        <v>133</v>
      </c>
      <c r="B103" s="3">
        <v>45457</v>
      </c>
      <c r="C103" s="2" t="s">
        <v>49</v>
      </c>
      <c r="D103" s="2" t="s">
        <v>35</v>
      </c>
      <c r="E103" s="2" t="s">
        <v>50</v>
      </c>
      <c r="F103" s="2" t="s">
        <v>25</v>
      </c>
      <c r="G103" s="2" t="s">
        <v>46</v>
      </c>
      <c r="H103" s="2" t="s">
        <v>16</v>
      </c>
      <c r="I103" s="2" t="s">
        <v>32</v>
      </c>
      <c r="J103" s="2">
        <v>1</v>
      </c>
    </row>
    <row r="104" spans="1:10" ht="12.75" x14ac:dyDescent="0.2">
      <c r="A104" s="2" t="s">
        <v>134</v>
      </c>
      <c r="B104" s="3">
        <v>45373</v>
      </c>
      <c r="C104" s="2" t="s">
        <v>11</v>
      </c>
      <c r="D104" s="2" t="s">
        <v>53</v>
      </c>
      <c r="E104" s="2" t="s">
        <v>24</v>
      </c>
      <c r="F104" s="2" t="s">
        <v>25</v>
      </c>
      <c r="G104" s="2" t="s">
        <v>15</v>
      </c>
      <c r="H104" s="2" t="s">
        <v>16</v>
      </c>
      <c r="I104" s="2" t="s">
        <v>36</v>
      </c>
      <c r="J104" s="2">
        <v>2</v>
      </c>
    </row>
    <row r="105" spans="1:10" ht="12.75" x14ac:dyDescent="0.2">
      <c r="A105" s="2" t="s">
        <v>135</v>
      </c>
      <c r="B105" s="3">
        <v>45445</v>
      </c>
      <c r="C105" s="2" t="s">
        <v>58</v>
      </c>
      <c r="D105" s="2" t="s">
        <v>53</v>
      </c>
      <c r="E105" s="2" t="s">
        <v>13</v>
      </c>
      <c r="F105" s="2" t="s">
        <v>20</v>
      </c>
      <c r="G105" s="2" t="s">
        <v>15</v>
      </c>
      <c r="H105" s="2" t="s">
        <v>40</v>
      </c>
      <c r="I105" s="2" t="s">
        <v>44</v>
      </c>
      <c r="J105" s="2">
        <v>0</v>
      </c>
    </row>
    <row r="106" spans="1:10" ht="12.75" x14ac:dyDescent="0.2">
      <c r="A106" s="2" t="s">
        <v>136</v>
      </c>
      <c r="B106" s="3">
        <v>45294</v>
      </c>
      <c r="C106" s="2" t="s">
        <v>19</v>
      </c>
      <c r="D106" s="2" t="s">
        <v>30</v>
      </c>
      <c r="E106" s="2" t="s">
        <v>38</v>
      </c>
      <c r="F106" s="2" t="s">
        <v>14</v>
      </c>
      <c r="G106" s="2" t="s">
        <v>15</v>
      </c>
      <c r="H106" s="2" t="s">
        <v>51</v>
      </c>
      <c r="I106" s="2" t="s">
        <v>17</v>
      </c>
      <c r="J106" s="2">
        <v>1</v>
      </c>
    </row>
    <row r="107" spans="1:10" ht="12.75" x14ac:dyDescent="0.2">
      <c r="A107" s="2" t="s">
        <v>137</v>
      </c>
      <c r="B107" s="3">
        <v>45458</v>
      </c>
      <c r="C107" s="2" t="s">
        <v>64</v>
      </c>
      <c r="D107" s="2" t="s">
        <v>55</v>
      </c>
      <c r="E107" s="2" t="s">
        <v>13</v>
      </c>
      <c r="F107" s="2" t="s">
        <v>20</v>
      </c>
      <c r="G107" s="2" t="s">
        <v>26</v>
      </c>
      <c r="H107" s="2" t="s">
        <v>27</v>
      </c>
      <c r="I107" s="2" t="s">
        <v>44</v>
      </c>
      <c r="J107" s="2">
        <v>4</v>
      </c>
    </row>
    <row r="108" spans="1:10" ht="12.75" x14ac:dyDescent="0.2">
      <c r="A108" s="2" t="s">
        <v>138</v>
      </c>
      <c r="B108" s="3">
        <v>45369</v>
      </c>
      <c r="C108" s="2" t="s">
        <v>11</v>
      </c>
      <c r="D108" s="2" t="s">
        <v>30</v>
      </c>
      <c r="E108" s="2" t="s">
        <v>59</v>
      </c>
      <c r="F108" s="2" t="s">
        <v>14</v>
      </c>
      <c r="G108" s="2" t="s">
        <v>21</v>
      </c>
      <c r="H108" s="2" t="s">
        <v>27</v>
      </c>
      <c r="I108" s="2" t="s">
        <v>22</v>
      </c>
      <c r="J108" s="2">
        <v>1</v>
      </c>
    </row>
    <row r="109" spans="1:10" ht="12.75" x14ac:dyDescent="0.2">
      <c r="A109" s="2" t="s">
        <v>139</v>
      </c>
      <c r="B109" s="3">
        <v>45389</v>
      </c>
      <c r="C109" s="2" t="s">
        <v>29</v>
      </c>
      <c r="D109" s="2" t="s">
        <v>55</v>
      </c>
      <c r="E109" s="2" t="s">
        <v>50</v>
      </c>
      <c r="F109" s="2" t="s">
        <v>20</v>
      </c>
      <c r="G109" s="2" t="s">
        <v>46</v>
      </c>
      <c r="H109" s="2" t="s">
        <v>51</v>
      </c>
      <c r="I109" s="2" t="s">
        <v>22</v>
      </c>
      <c r="J109" s="2">
        <v>5</v>
      </c>
    </row>
    <row r="110" spans="1:10" ht="12.75" x14ac:dyDescent="0.2">
      <c r="A110" s="2" t="s">
        <v>140</v>
      </c>
      <c r="B110" s="3">
        <v>45456</v>
      </c>
      <c r="C110" s="2" t="s">
        <v>64</v>
      </c>
      <c r="D110" s="2" t="s">
        <v>35</v>
      </c>
      <c r="E110" s="2" t="s">
        <v>24</v>
      </c>
      <c r="F110" s="2" t="s">
        <v>14</v>
      </c>
      <c r="G110" s="2" t="s">
        <v>21</v>
      </c>
      <c r="H110" s="2" t="s">
        <v>27</v>
      </c>
      <c r="I110" s="2" t="s">
        <v>22</v>
      </c>
      <c r="J110" s="2">
        <v>0</v>
      </c>
    </row>
    <row r="111" spans="1:10" ht="12.75" x14ac:dyDescent="0.2">
      <c r="A111" s="2" t="s">
        <v>141</v>
      </c>
      <c r="B111" s="3">
        <v>45342</v>
      </c>
      <c r="C111" s="2" t="s">
        <v>19</v>
      </c>
      <c r="D111" s="2" t="s">
        <v>30</v>
      </c>
      <c r="E111" s="2" t="s">
        <v>24</v>
      </c>
      <c r="F111" s="2" t="s">
        <v>14</v>
      </c>
      <c r="G111" s="2" t="s">
        <v>21</v>
      </c>
      <c r="H111" s="2" t="s">
        <v>40</v>
      </c>
      <c r="I111" s="2" t="s">
        <v>41</v>
      </c>
      <c r="J111" s="2">
        <v>3</v>
      </c>
    </row>
    <row r="112" spans="1:10" ht="12.75" x14ac:dyDescent="0.2">
      <c r="A112" s="2" t="s">
        <v>142</v>
      </c>
      <c r="B112" s="3">
        <v>45313</v>
      </c>
      <c r="C112" s="2" t="s">
        <v>34</v>
      </c>
      <c r="D112" s="2" t="s">
        <v>35</v>
      </c>
      <c r="E112" s="2" t="s">
        <v>38</v>
      </c>
      <c r="F112" s="2" t="s">
        <v>14</v>
      </c>
      <c r="G112" s="2" t="s">
        <v>26</v>
      </c>
      <c r="H112" s="2" t="s">
        <v>40</v>
      </c>
      <c r="I112" s="2" t="s">
        <v>41</v>
      </c>
      <c r="J112" s="2">
        <v>5</v>
      </c>
    </row>
    <row r="113" spans="1:10" ht="12.75" x14ac:dyDescent="0.2">
      <c r="A113" s="2" t="s">
        <v>143</v>
      </c>
      <c r="B113" s="3">
        <v>45403</v>
      </c>
      <c r="C113" s="2" t="s">
        <v>43</v>
      </c>
      <c r="D113" s="2" t="s">
        <v>53</v>
      </c>
      <c r="E113" s="2" t="s">
        <v>31</v>
      </c>
      <c r="F113" s="2" t="s">
        <v>25</v>
      </c>
      <c r="G113" s="2" t="s">
        <v>21</v>
      </c>
      <c r="H113" s="2" t="s">
        <v>27</v>
      </c>
      <c r="I113" s="2" t="s">
        <v>41</v>
      </c>
      <c r="J113" s="2">
        <v>3</v>
      </c>
    </row>
    <row r="114" spans="1:10" ht="12.75" x14ac:dyDescent="0.2">
      <c r="A114" s="2" t="s">
        <v>144</v>
      </c>
      <c r="B114" s="3">
        <v>45390</v>
      </c>
      <c r="C114" s="2" t="s">
        <v>43</v>
      </c>
      <c r="D114" s="2" t="s">
        <v>55</v>
      </c>
      <c r="E114" s="2" t="s">
        <v>50</v>
      </c>
      <c r="F114" s="2" t="s">
        <v>25</v>
      </c>
      <c r="G114" s="2" t="s">
        <v>46</v>
      </c>
      <c r="H114" s="2" t="s">
        <v>51</v>
      </c>
      <c r="I114" s="2" t="s">
        <v>44</v>
      </c>
      <c r="J114" s="2">
        <v>0</v>
      </c>
    </row>
    <row r="115" spans="1:10" ht="12.75" x14ac:dyDescent="0.2">
      <c r="A115" s="2" t="s">
        <v>145</v>
      </c>
      <c r="B115" s="3">
        <v>45464</v>
      </c>
      <c r="C115" s="2" t="s">
        <v>64</v>
      </c>
      <c r="D115" s="2" t="s">
        <v>12</v>
      </c>
      <c r="E115" s="2" t="s">
        <v>13</v>
      </c>
      <c r="F115" s="2" t="s">
        <v>14</v>
      </c>
      <c r="G115" s="2" t="s">
        <v>46</v>
      </c>
      <c r="H115" s="2" t="s">
        <v>40</v>
      </c>
      <c r="I115" s="2" t="s">
        <v>41</v>
      </c>
      <c r="J115" s="2">
        <v>4</v>
      </c>
    </row>
    <row r="116" spans="1:10" ht="12.75" x14ac:dyDescent="0.2">
      <c r="A116" s="2" t="s">
        <v>146</v>
      </c>
      <c r="B116" s="3">
        <v>45317</v>
      </c>
      <c r="C116" s="2" t="s">
        <v>49</v>
      </c>
      <c r="D116" s="2" t="s">
        <v>55</v>
      </c>
      <c r="E116" s="2" t="s">
        <v>50</v>
      </c>
      <c r="F116" s="2" t="s">
        <v>25</v>
      </c>
      <c r="G116" s="2" t="s">
        <v>21</v>
      </c>
      <c r="H116" s="2" t="s">
        <v>51</v>
      </c>
      <c r="I116" s="2" t="s">
        <v>17</v>
      </c>
      <c r="J116" s="2">
        <v>2</v>
      </c>
    </row>
  </sheetData>
  <mergeCells count="1">
    <mergeCell ref="A5:H5"/>
  </mergeCells>
  <pageMargins left="0.7" right="0.7" top="0.75" bottom="0.75" header="0.3" footer="0.3"/>
  <pageSetup orientation="portrait" r:id="rId6"/>
  <drawing r:id="rId7"/>
  <tableParts count="1">
    <tablePart r:id="rId8"/>
  </tableParts>
  <extLst>
    <ext xmlns:x15="http://schemas.microsoft.com/office/spreadsheetml/2010/11/main" uri="{3A4CF648-6AED-40f4-86FF-DC5316D8AED3}">
      <x14:slicerList xmlns:x14="http://schemas.microsoft.com/office/spreadsheetml/2009/9/main">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F13"/>
  <sheetViews>
    <sheetView zoomScale="124" zoomScaleNormal="124" workbookViewId="0">
      <selection activeCell="F14" sqref="F14"/>
    </sheetView>
  </sheetViews>
  <sheetFormatPr defaultRowHeight="12.75" x14ac:dyDescent="0.2"/>
  <cols>
    <col min="1" max="5" width="19.140625" customWidth="1"/>
    <col min="6" max="6" width="30" customWidth="1"/>
  </cols>
  <sheetData>
    <row r="1" spans="1:6" x14ac:dyDescent="0.2">
      <c r="A1" s="10" t="s">
        <v>158</v>
      </c>
      <c r="B1" s="11"/>
      <c r="C1" s="11"/>
      <c r="D1" s="11"/>
      <c r="E1" s="11"/>
      <c r="F1" s="11"/>
    </row>
    <row r="2" spans="1:6" ht="45" x14ac:dyDescent="0.2">
      <c r="A2" s="12" t="s">
        <v>159</v>
      </c>
      <c r="B2" s="12" t="s">
        <v>160</v>
      </c>
      <c r="C2" s="12" t="s">
        <v>161</v>
      </c>
      <c r="D2" s="12" t="s">
        <v>162</v>
      </c>
      <c r="E2" s="12" t="s">
        <v>163</v>
      </c>
      <c r="F2" s="13"/>
    </row>
    <row r="3" spans="1:6" x14ac:dyDescent="0.2">
      <c r="A3" s="14" t="s">
        <v>164</v>
      </c>
      <c r="B3" s="14" t="s">
        <v>165</v>
      </c>
      <c r="C3" s="15">
        <v>43115</v>
      </c>
      <c r="D3" s="16">
        <f ca="1">DATEDIF(C3,B13,"Y")</f>
        <v>7</v>
      </c>
      <c r="E3" s="16">
        <f ca="1">DATEDIF(C3,B13,"YM")</f>
        <v>11</v>
      </c>
      <c r="F3" s="13"/>
    </row>
    <row r="4" spans="1:6" x14ac:dyDescent="0.2">
      <c r="A4" s="14" t="s">
        <v>166</v>
      </c>
      <c r="B4" s="14" t="s">
        <v>167</v>
      </c>
      <c r="C4" s="15">
        <v>42020</v>
      </c>
      <c r="D4" s="16">
        <f ca="1">DATEDIF(C4,B13,"Y")</f>
        <v>10</v>
      </c>
      <c r="E4" s="16">
        <f ca="1">DATEDIF(C4,B13,"YM")</f>
        <v>11</v>
      </c>
      <c r="F4" s="13"/>
    </row>
    <row r="5" spans="1:6" x14ac:dyDescent="0.2">
      <c r="A5" s="14" t="s">
        <v>168</v>
      </c>
      <c r="B5" s="14" t="s">
        <v>169</v>
      </c>
      <c r="C5" s="15">
        <v>44484</v>
      </c>
      <c r="D5" s="16">
        <f ca="1">DATEDIF(C5,B13,"Y")</f>
        <v>4</v>
      </c>
      <c r="E5" s="16">
        <f ca="1">DATEDIF(C5,B13,"YM")</f>
        <v>2</v>
      </c>
      <c r="F5" s="13"/>
    </row>
    <row r="6" spans="1:6" x14ac:dyDescent="0.2">
      <c r="A6" s="14" t="s">
        <v>170</v>
      </c>
      <c r="B6" s="14" t="s">
        <v>171</v>
      </c>
      <c r="C6" s="15">
        <v>43787</v>
      </c>
      <c r="D6" s="16">
        <f ca="1">DATEDIF(C6,$B$13,"Y")</f>
        <v>6</v>
      </c>
      <c r="E6" s="16">
        <f ca="1">DATEDIF(C6,B13,"YM")</f>
        <v>1</v>
      </c>
      <c r="F6" s="13"/>
    </row>
    <row r="7" spans="1:6" x14ac:dyDescent="0.2">
      <c r="A7" s="14" t="s">
        <v>172</v>
      </c>
      <c r="B7" s="14" t="s">
        <v>173</v>
      </c>
      <c r="C7" s="15">
        <v>40107</v>
      </c>
      <c r="D7" s="16">
        <f ca="1">DATEDIF(C7,$B$13,"Y")</f>
        <v>16</v>
      </c>
      <c r="E7" s="16">
        <f ca="1">DATEDIF(C7,B13,"YM")</f>
        <v>2</v>
      </c>
      <c r="F7" s="13"/>
    </row>
    <row r="8" spans="1:6" x14ac:dyDescent="0.2">
      <c r="A8" s="14" t="s">
        <v>174</v>
      </c>
      <c r="B8" s="14" t="s">
        <v>175</v>
      </c>
      <c r="C8" s="15">
        <v>43005</v>
      </c>
      <c r="D8" s="16">
        <f t="shared" ref="D8:D10" ca="1" si="0">DATEDIF(C8,$B$13,"Y")</f>
        <v>8</v>
      </c>
      <c r="E8" s="16">
        <f ca="1">DATEDIF(C8,B13,"YM")</f>
        <v>3</v>
      </c>
      <c r="F8" s="13"/>
    </row>
    <row r="9" spans="1:6" x14ac:dyDescent="0.2">
      <c r="A9" s="14" t="s">
        <v>176</v>
      </c>
      <c r="B9" s="14" t="s">
        <v>177</v>
      </c>
      <c r="C9" s="15">
        <v>41967</v>
      </c>
      <c r="D9" s="16">
        <f t="shared" ca="1" si="0"/>
        <v>11</v>
      </c>
      <c r="E9" s="16">
        <f ca="1">DATEDIF(C9,B13,"YM")</f>
        <v>1</v>
      </c>
      <c r="F9" s="13"/>
    </row>
    <row r="10" spans="1:6" x14ac:dyDescent="0.2">
      <c r="A10" s="14" t="s">
        <v>178</v>
      </c>
      <c r="B10" s="14" t="s">
        <v>179</v>
      </c>
      <c r="C10" s="15">
        <v>41296</v>
      </c>
      <c r="D10" s="16">
        <f t="shared" ca="1" si="0"/>
        <v>12</v>
      </c>
      <c r="E10" s="16">
        <f ca="1">DATEDIF(C10,B13,"YM")</f>
        <v>11</v>
      </c>
      <c r="F10" s="13"/>
    </row>
    <row r="11" spans="1:6" x14ac:dyDescent="0.2">
      <c r="A11" s="13"/>
      <c r="B11" s="13"/>
      <c r="C11" s="13"/>
      <c r="D11" s="13"/>
      <c r="E11" s="13"/>
      <c r="F11" s="13"/>
    </row>
    <row r="12" spans="1:6" ht="15" x14ac:dyDescent="0.2">
      <c r="A12" s="13"/>
      <c r="B12" s="12" t="s">
        <v>180</v>
      </c>
      <c r="C12" s="13"/>
      <c r="D12" s="13"/>
      <c r="E12" s="13"/>
      <c r="F12" s="13"/>
    </row>
    <row r="13" spans="1:6" x14ac:dyDescent="0.2">
      <c r="A13" s="13"/>
      <c r="B13" s="17">
        <f ca="1">TODAY()</f>
        <v>46030</v>
      </c>
      <c r="C13" s="13"/>
      <c r="D13" s="13"/>
      <c r="E13" s="13"/>
      <c r="F13" s="13"/>
    </row>
  </sheetData>
  <mergeCells count="1">
    <mergeCell ref="A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G22"/>
  <sheetViews>
    <sheetView tabSelected="1" zoomScale="148" zoomScaleNormal="148" workbookViewId="0">
      <selection activeCell="D6" sqref="D6"/>
    </sheetView>
  </sheetViews>
  <sheetFormatPr defaultRowHeight="12.75" x14ac:dyDescent="0.2"/>
  <cols>
    <col min="1" max="3" width="17" customWidth="1"/>
  </cols>
  <sheetData>
    <row r="1" spans="1:7" ht="20.25" customHeight="1" x14ac:dyDescent="0.2">
      <c r="A1" s="9" t="s">
        <v>206</v>
      </c>
      <c r="B1" s="9"/>
      <c r="C1" s="9"/>
      <c r="D1" s="9"/>
    </row>
    <row r="2" spans="1:7" ht="13.5" customHeight="1" x14ac:dyDescent="0.2">
      <c r="A2" s="9"/>
      <c r="B2" s="9"/>
      <c r="C2" s="9"/>
      <c r="D2" s="9"/>
    </row>
    <row r="3" spans="1:7" ht="13.5" customHeight="1" x14ac:dyDescent="0.2">
      <c r="A3" s="9"/>
      <c r="B3" s="9"/>
      <c r="C3" s="9"/>
      <c r="D3" s="9"/>
    </row>
    <row r="4" spans="1:7" ht="13.5" customHeight="1" x14ac:dyDescent="0.2">
      <c r="A4" s="9"/>
      <c r="B4" s="9"/>
      <c r="C4" s="9"/>
      <c r="D4" s="9"/>
    </row>
    <row r="5" spans="1:7" ht="13.5" customHeight="1" x14ac:dyDescent="0.2">
      <c r="A5" s="22"/>
      <c r="B5" s="7"/>
      <c r="C5" s="7"/>
      <c r="D5" s="7"/>
    </row>
    <row r="6" spans="1:7" ht="13.5" customHeight="1" x14ac:dyDescent="0.2">
      <c r="A6" s="22"/>
      <c r="B6" s="7"/>
      <c r="C6" s="7"/>
      <c r="D6" s="7"/>
    </row>
    <row r="7" spans="1:7" ht="13.5" x14ac:dyDescent="0.25">
      <c r="A7" s="21" t="s">
        <v>181</v>
      </c>
      <c r="B7" s="21" t="s">
        <v>182</v>
      </c>
      <c r="C7" s="21" t="s">
        <v>183</v>
      </c>
    </row>
    <row r="8" spans="1:7" x14ac:dyDescent="0.2">
      <c r="A8" s="19" t="s">
        <v>184</v>
      </c>
      <c r="B8" s="19" t="s">
        <v>185</v>
      </c>
      <c r="C8" s="19">
        <v>65</v>
      </c>
    </row>
    <row r="9" spans="1:7" x14ac:dyDescent="0.2">
      <c r="A9" s="19" t="s">
        <v>186</v>
      </c>
      <c r="B9" s="19" t="s">
        <v>187</v>
      </c>
      <c r="C9" s="19">
        <v>50</v>
      </c>
      <c r="D9" s="20" t="s">
        <v>204</v>
      </c>
      <c r="G9" s="20"/>
    </row>
    <row r="10" spans="1:7" x14ac:dyDescent="0.2">
      <c r="A10" s="19" t="s">
        <v>188</v>
      </c>
      <c r="B10" s="19" t="s">
        <v>189</v>
      </c>
      <c r="C10" s="19">
        <v>38</v>
      </c>
      <c r="D10" s="20" t="s">
        <v>205</v>
      </c>
    </row>
    <row r="11" spans="1:7" x14ac:dyDescent="0.2">
      <c r="A11" s="19" t="s">
        <v>190</v>
      </c>
      <c r="B11" s="19" t="s">
        <v>191</v>
      </c>
      <c r="C11" s="19">
        <v>80</v>
      </c>
    </row>
    <row r="12" spans="1:7" x14ac:dyDescent="0.2">
      <c r="A12" s="19" t="s">
        <v>192</v>
      </c>
      <c r="B12" s="19" t="s">
        <v>193</v>
      </c>
      <c r="C12" s="19">
        <v>12</v>
      </c>
    </row>
    <row r="13" spans="1:7" x14ac:dyDescent="0.2">
      <c r="A13" s="19" t="s">
        <v>194</v>
      </c>
      <c r="B13" s="19" t="s">
        <v>195</v>
      </c>
      <c r="C13" s="19">
        <v>40</v>
      </c>
    </row>
    <row r="14" spans="1:7" x14ac:dyDescent="0.2">
      <c r="A14" s="19" t="s">
        <v>196</v>
      </c>
      <c r="B14" s="19" t="s">
        <v>197</v>
      </c>
      <c r="C14" s="19">
        <v>65</v>
      </c>
    </row>
    <row r="15" spans="1:7" ht="13.5" customHeight="1" x14ac:dyDescent="0.2">
      <c r="A15" s="19" t="s">
        <v>198</v>
      </c>
      <c r="B15" s="19" t="s">
        <v>199</v>
      </c>
      <c r="C15" s="19">
        <v>11</v>
      </c>
    </row>
    <row r="16" spans="1:7" ht="13.5" customHeight="1" x14ac:dyDescent="0.2">
      <c r="A16" s="19" t="s">
        <v>200</v>
      </c>
      <c r="B16" s="19" t="s">
        <v>201</v>
      </c>
      <c r="C16" s="19">
        <v>15</v>
      </c>
    </row>
    <row r="17" spans="1:7" x14ac:dyDescent="0.2">
      <c r="A17" s="19" t="s">
        <v>202</v>
      </c>
      <c r="B17" s="19" t="s">
        <v>203</v>
      </c>
      <c r="C17" s="19">
        <v>5</v>
      </c>
    </row>
    <row r="20" spans="1:7" x14ac:dyDescent="0.2">
      <c r="G20" s="20"/>
    </row>
    <row r="22" spans="1:7" x14ac:dyDescent="0.2">
      <c r="G22" s="20"/>
    </row>
  </sheetData>
  <mergeCells count="1">
    <mergeCell ref="A1:D4"/>
  </mergeCells>
  <conditionalFormatting sqref="C18">
    <cfRule type="iconSet" priority="8">
      <iconSet>
        <cfvo type="percent" val="0"/>
        <cfvo type="percent" val="33"/>
        <cfvo type="percent" val="67"/>
      </iconSet>
    </cfRule>
  </conditionalFormatting>
  <conditionalFormatting sqref="C7">
    <cfRule type="iconSet" priority="5">
      <iconSet>
        <cfvo type="percent" val="0"/>
        <cfvo type="percent" val="1"/>
        <cfvo type="percent" val="20"/>
      </iconSet>
    </cfRule>
  </conditionalFormatting>
  <conditionalFormatting sqref="C8:C17">
    <cfRule type="iconSet" priority="1">
      <iconSet>
        <cfvo type="percent" val="0"/>
        <cfvo type="percent" val="20"/>
        <cfvo type="percent" val="50"/>
      </iconSe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2" id="{E7D618CE-B92D-436A-BF51-AD6E5CFC7142}">
            <x14:iconSet custom="1">
              <x14:cfvo type="percent">
                <xm:f>0</xm:f>
              </x14:cfvo>
              <x14:cfvo type="percent">
                <xm:f>50</xm:f>
              </x14:cfvo>
              <x14:cfvo type="percent">
                <xm:f>50</xm:f>
              </x14:cfvo>
              <x14:cfIcon iconSet="3TrafficLights1" iconId="0"/>
              <x14:cfIcon iconSet="3TrafficLights1" iconId="2"/>
              <x14:cfIcon iconSet="3TrafficLights1" iconId="2"/>
            </x14:iconSet>
          </x14:cfRule>
          <xm:sqref>C8:C17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C11"/>
  <sheetViews>
    <sheetView topLeftCell="A3" workbookViewId="0">
      <selection activeCell="D26" sqref="D26"/>
    </sheetView>
  </sheetViews>
  <sheetFormatPr defaultRowHeight="12.75" x14ac:dyDescent="0.2"/>
  <cols>
    <col min="1" max="3" width="18.5703125" customWidth="1"/>
  </cols>
  <sheetData>
    <row r="1" spans="1:3" s="18" customFormat="1" x14ac:dyDescent="0.2">
      <c r="A1" s="18" t="s">
        <v>181</v>
      </c>
      <c r="B1" s="18" t="s">
        <v>182</v>
      </c>
      <c r="C1" s="18" t="s">
        <v>183</v>
      </c>
    </row>
    <row r="2" spans="1:3" x14ac:dyDescent="0.2">
      <c r="A2" t="s">
        <v>184</v>
      </c>
      <c r="B2" t="s">
        <v>185</v>
      </c>
      <c r="C2">
        <v>15</v>
      </c>
    </row>
    <row r="3" spans="1:3" x14ac:dyDescent="0.2">
      <c r="A3" t="s">
        <v>186</v>
      </c>
      <c r="B3" t="s">
        <v>187</v>
      </c>
      <c r="C3">
        <v>50</v>
      </c>
    </row>
    <row r="4" spans="1:3" x14ac:dyDescent="0.2">
      <c r="A4" t="s">
        <v>188</v>
      </c>
      <c r="B4" t="s">
        <v>189</v>
      </c>
      <c r="C4">
        <v>8</v>
      </c>
    </row>
    <row r="5" spans="1:3" x14ac:dyDescent="0.2">
      <c r="A5" t="s">
        <v>190</v>
      </c>
      <c r="B5" t="s">
        <v>191</v>
      </c>
      <c r="C5">
        <v>0</v>
      </c>
    </row>
    <row r="6" spans="1:3" x14ac:dyDescent="0.2">
      <c r="A6" t="s">
        <v>192</v>
      </c>
      <c r="B6" t="s">
        <v>193</v>
      </c>
      <c r="C6">
        <v>12</v>
      </c>
    </row>
    <row r="7" spans="1:3" x14ac:dyDescent="0.2">
      <c r="A7" t="s">
        <v>194</v>
      </c>
      <c r="B7" t="s">
        <v>195</v>
      </c>
      <c r="C7">
        <v>25</v>
      </c>
    </row>
    <row r="8" spans="1:3" x14ac:dyDescent="0.2">
      <c r="A8" t="s">
        <v>196</v>
      </c>
      <c r="B8" t="s">
        <v>197</v>
      </c>
      <c r="C8">
        <v>5</v>
      </c>
    </row>
    <row r="9" spans="1:3" x14ac:dyDescent="0.2">
      <c r="A9" t="s">
        <v>198</v>
      </c>
      <c r="B9" t="s">
        <v>199</v>
      </c>
      <c r="C9">
        <v>0</v>
      </c>
    </row>
    <row r="10" spans="1:3" x14ac:dyDescent="0.2">
      <c r="A10" t="s">
        <v>200</v>
      </c>
      <c r="B10" t="s">
        <v>201</v>
      </c>
      <c r="C10">
        <v>18</v>
      </c>
    </row>
    <row r="11" spans="1:3" x14ac:dyDescent="0.2">
      <c r="A11" t="s">
        <v>202</v>
      </c>
      <c r="B11" t="s">
        <v>203</v>
      </c>
      <c r="C11">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Road_Accident_Dataset_100_Rows</vt: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cp:lastPrinted>2026-01-08T14:00:39Z</cp:lastPrinted>
  <dcterms:modified xsi:type="dcterms:W3CDTF">2026-01-08T15:08:51Z</dcterms:modified>
</cp:coreProperties>
</file>